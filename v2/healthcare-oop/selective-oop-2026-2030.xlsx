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1fd23c815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486f64ad1b427a"/>
    <x:sheet xmlns:r="http://schemas.openxmlformats.org/officeDocument/2006/relationships" name="Assumptions" sheetId="2" r:id="R4503337133a24709"/>
    <x:sheet xmlns:r="http://schemas.openxmlformats.org/officeDocument/2006/relationships" name="IOL" sheetId="3" r:id="Rb6df2e0a9ab64347"/>
    <x:sheet xmlns:r="http://schemas.openxmlformats.org/officeDocument/2006/relationships" name="Aier" sheetId="4" r:id="R3e25cf3582ad4421"/>
    <x:sheet xmlns:r="http://schemas.openxmlformats.org/officeDocument/2006/relationships" name="Sensory" sheetId="5" r:id="Ra6bd75497b8540f5"/>
    <x:sheet xmlns:r="http://schemas.openxmlformats.org/officeDocument/2006/relationships" name="PAP" sheetId="6" r:id="R71784f61ee2b42c1"/>
    <x:sheet xmlns:r="http://schemas.openxmlformats.org/officeDocument/2006/relationships" name="Unit economics" sheetId="7" r:id="Rd6688b31209e468d"/>
    <x:sheet xmlns:r="http://schemas.openxmlformats.org/officeDocument/2006/relationships" name="Market" sheetId="8" r:id="R71160731d45c4ff6"/>
    <x:sheet xmlns:r="http://schemas.openxmlformats.org/officeDocument/2006/relationships" name="Actuals" sheetId="9" r:id="R46217403aab143aa"/>
    <x:sheet xmlns:r="http://schemas.openxmlformats.org/officeDocument/2006/relationships" name="Sources" sheetId="10" r:id="Rc3244e9f381a4aa3"/>
    <x:sheet xmlns:r="http://schemas.openxmlformats.org/officeDocument/2006/relationships" name="Checks" sheetId="11" r:id="R572ec739fa38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&quot;A / 校准&quot;"/>
    <x:numFmt numFmtId="201" formatCode="0&quot;E&quot;"/>
    <x:numFmt numFmtId="202" formatCode="#,##0.0;(#,##0.0);&quot;-&quot;"/>
    <x:numFmt numFmtId="203" formatCode="#,##0;(#,##0);&quot;-&quot;"/>
    <x:numFmt numFmtId="204" formatCode="0.0%;(0.0%);&quot;-&quot;"/>
    <x:numFmt numFmtId="205" formatCode="0.00"/>
    <x:numFmt numFmtId="206" formatCode="0.000;(0.000);&quot;-&quot;"/>
    <x:numFmt numFmtId="207" formatCode="0.000000;(0.000000);&quot;-&quot;"/>
  </x:numFmts>
  <x:fonts count="13">
    <x:font>
      <x:sz val="11"/>
      <x:name val="Carlito"/>
    </x:font>
    <x:font>
      <x:sz val="10"/>
      <x:color rgb="FF253C4E"/>
      <x:name val="Arial"/>
    </x:font>
    <x:font>
      <x:b/>
      <x:sz val="18"/>
      <x:color rgb="FFFFFFFF"/>
      <x:name val="Arial"/>
    </x:font>
    <x:font>
      <x:sz val="10"/>
      <x:color rgb="FF188353"/>
      <x:name val="Arial"/>
    </x:font>
    <x:font>
      <x:b/>
      <x:sz val="10"/>
      <x:color rgb="FF253C4E"/>
      <x:name val="Arial"/>
    </x:font>
    <x:font>
      <x:sz val="10"/>
      <x:color rgb="FF1765BD"/>
      <x:name val="Arial"/>
    </x:font>
    <x:font>
      <x:sz val="9"/>
      <x:color rgb="FF253C4E"/>
      <x:name val="Arial"/>
    </x:font>
    <x:font>
      <x:sz val="11"/>
      <x:color rgb="FF188353"/>
      <x:name val="Carlito"/>
    </x:font>
    <x:font>
      <x:sz val="11"/>
      <x:color rgb="FF1765BD"/>
      <x:name val="Carlito"/>
    </x:font>
    <x:font>
      <x:sz val="10"/>
      <x:color rgb="FF607588"/>
      <x:name val="Arial"/>
    </x:font>
    <x:font>
      <x:sz val="10"/>
      <x:color rgb="FF607588"/>
      <x:name val="Carlito"/>
    </x:font>
    <x:font>
      <x:b/>
      <x:sz val="12"/>
      <x:color rgb="FFFFFFFF"/>
      <x:name val="Arial"/>
    </x:font>
    <x:font>
      <x:sz val="11"/>
      <x:color rgb="FF253C4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EDF4F6"/>
      </x:patternFill>
    </x:fill>
    <x:fill>
      <x:patternFill patternType="solid">
        <x:fgColor rgb="FFEFF6FE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204" fontId="8" fillId="4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204" fontId="7" fillId="3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204" fontId="3" fillId="4" borderId="0" xfId="0" applyNumberFormat="1" applyFont="1" applyFill="1" applyBorder="1" applyAlignment="1">
      <x:alignment vertical="center"/>
    </x:xf>
    <x:xf numFmtId="204" fontId="3" fillId="5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202" fontId="1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206" fontId="3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5d640a4204607" /><Relationship Type="http://schemas.openxmlformats.org/officeDocument/2006/relationships/theme" Target="/xl/theme/theme1.xml" Id="R8fe0c04ff259463d" /><Relationship Type="http://schemas.openxmlformats.org/officeDocument/2006/relationships/sharedStrings" Target="/xl/sharedStrings.xml" Id="Rda8891bd7fc5420e" /><Relationship Type="http://schemas.openxmlformats.org/officeDocument/2006/relationships/worksheet" Target="/xl/worksheets/sheet1.xml" Id="R74486f64ad1b427a" /><Relationship Type="http://schemas.openxmlformats.org/officeDocument/2006/relationships/worksheet" Target="/xl/worksheets/sheet2.xml" Id="R4503337133a24709" /><Relationship Type="http://schemas.openxmlformats.org/officeDocument/2006/relationships/worksheet" Target="/xl/worksheets/sheet3.xml" Id="Rb6df2e0a9ab64347" /><Relationship Type="http://schemas.openxmlformats.org/officeDocument/2006/relationships/worksheet" Target="/xl/worksheets/sheet4.xml" Id="R3e25cf3582ad4421" /><Relationship Type="http://schemas.openxmlformats.org/officeDocument/2006/relationships/worksheet" Target="/xl/worksheets/sheet5.xml" Id="Ra6bd75497b8540f5" /><Relationship Type="http://schemas.openxmlformats.org/officeDocument/2006/relationships/worksheet" Target="/xl/worksheets/sheet6.xml" Id="R71784f61ee2b42c1" /><Relationship Type="http://schemas.openxmlformats.org/officeDocument/2006/relationships/worksheet" Target="/xl/worksheets/sheet7.xml" Id="Rd6688b31209e468d" /><Relationship Type="http://schemas.openxmlformats.org/officeDocument/2006/relationships/worksheet" Target="/xl/worksheets/sheet8.xml" Id="R71160731d45c4ff6" /><Relationship Type="http://schemas.openxmlformats.org/officeDocument/2006/relationships/worksheet" Target="/xl/worksheets/sheet9.xml" Id="R46217403aab143aa" /><Relationship Type="http://schemas.openxmlformats.org/officeDocument/2006/relationships/worksheet" Target="/xl/worksheets/sheet10.xml" Id="Rc3244e9f381a4aa3" /><Relationship Type="http://schemas.openxmlformats.org/officeDocument/2006/relationships/worksheet" Target="/xl/worksheets/sheet11.xml" Id="R572ec739fa3840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b8a4236e514c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9bb1346c1c043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IOL revenue and GP | RMB 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IOL收入</c:v>
          </c:tx>
          <c:spPr>
            <a:ln xmlns:a="http://schemas.openxmlformats.org/drawingml/2006/main" w="19050">
              <a:solidFill>
                <a:srgbClr val="087E82"/>
              </a:solidFill>
              <a:prstDash val="solid"/>
            </a:ln>
          </c:spPr>
          <c:marker>
            <c:symbol val="none"/>
          </c:marker>
          <c:cat>
            <c:strRef>
              <c:f>'IOL'!$K$48:$K$53</c:f>
              <c:strCache>
                <c:ptCount val="0"/>
              </c:strCache>
            </c:strRef>
          </c:cat>
          <c:val>
            <c:numRef>
              <c:f>'IOL'!$L$48:$L$53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IOL毛利</c:v>
          </c:tx>
          <c:spPr>
            <a:ln xmlns:a="http://schemas.openxmlformats.org/drawingml/2006/main" w="19050">
              <a:solidFill>
                <a:srgbClr val="1765BD"/>
              </a:solidFill>
              <a:prstDash val="solid"/>
            </a:ln>
          </c:spPr>
          <c:marker>
            <c:symbol val="none"/>
          </c:marker>
          <c:cat>
            <c:strRef>
              <c:f>'IOL'!$K$48:$K$53</c:f>
              <c:strCache>
                <c:ptCount val="0"/>
              </c:strCache>
            </c:strRef>
          </c:cat>
          <c:val>
            <c:numRef>
              <c:f>'IOL'!$M$48:$M$53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PAP geography | RMB 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国内收入</c:v>
          </c:tx>
          <c:spPr>
            <a:ln xmlns:a="http://schemas.openxmlformats.org/drawingml/2006/main" w="19050">
              <a:solidFill>
                <a:srgbClr val="087E82"/>
              </a:solidFill>
              <a:prstDash val="solid"/>
            </a:ln>
          </c:spPr>
          <c:marker>
            <c:symbol val="none"/>
          </c:marker>
          <c:cat>
            <c:strRef>
              <c:f>'PAP'!$K$38:$K$43</c:f>
              <c:strCache>
                <c:ptCount val="0"/>
              </c:strCache>
            </c:strRef>
          </c:cat>
          <c:val>
            <c:numRef>
              <c:f>'PAP'!$L$38:$L$43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海外收入</c:v>
          </c:tx>
          <c:spPr>
            <a:ln xmlns:a="http://schemas.openxmlformats.org/drawingml/2006/main" w="19050">
              <a:solidFill>
                <a:srgbClr val="1765BD"/>
              </a:solidFill>
              <a:prstDash val="solid"/>
            </a:ln>
          </c:spPr>
          <c:marker>
            <c:symbol val="none"/>
          </c:marker>
          <c:cat>
            <c:strRef>
              <c:f>'PAP'!$K$38:$K$43</c:f>
              <c:strCache>
                <c:ptCount val="0"/>
              </c:strCache>
            </c:strRef>
          </c:cat>
          <c:val>
            <c:numRef>
              <c:f>'PAP'!$M$38:$M$43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54</xdr:row>
      <xdr:rowOff>0</xdr:rowOff>
    </xdr:from>
    <xdr:to>
      <xdr:col>15</xdr:col>
      <xdr:colOff>0</xdr:colOff>
      <xdr:row>69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b8a4236e514cb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44</xdr:row>
      <xdr:rowOff>0</xdr:rowOff>
    </xdr:from>
    <xdr:to>
      <xdr:col>15</xdr:col>
      <xdr:colOff>0</xdr:colOff>
      <xdr:row>60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bb1346c1c043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6f8097a81f47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c0930cd1077d4a62" /></Relationships>
</file>

<file path=xl/worksheets/sheet1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选择性 OOP：情景与 EPS 敏感性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33" customHeight="1">
      <x:c r="A3" s="2" t="str">
        <x:v>情景 1=下行 / 2=基准 / 3=上行</x:v>
      </x:c>
      <x:c r="B3" s="13" t="n">
        <x:v>2</x:v>
      </x:c>
      <x:c r="C3" s="2"/>
      <x:c r="D3" s="2"/>
      <x:c r="E3" s="2"/>
      <x:c r="F3" s="2"/>
      <x:c r="G3" s="2"/>
      <x:c r="H3" s="2"/>
      <x:c r="I3" s="2"/>
      <x:c r="J3" s="37" t="str">
        <x:v>蓝字为可调输入；绿字为跨表引用；黑字为本表公式</x:v>
      </x:c>
      <x:c r="K3" s="37"/>
      <x:c r="L3" s="37"/>
      <x:c r="M3" s="37"/>
      <x:c r="N3" s="37"/>
    </x:row>
    <x:row r="4" ht="33" customHeight="1">
      <x:c r="A4" s="2" t="str">
        <x:v>2026核心品类一次性数量冲击</x:v>
      </x:c>
      <x:c r="B4" s="14" t="n">
        <x:v>0</x:v>
      </x:c>
      <x:c r="C4" s="2"/>
      <x:c r="D4" s="2"/>
      <x:c r="E4" s="2"/>
      <x:c r="F4" s="2"/>
      <x:c r="G4" s="2"/>
      <x:c r="H4" s="2"/>
      <x:c r="I4" s="2"/>
      <x:c r="J4" s="37" t="str">
        <x:v>条件情景，非一致预期、非目标价。其余业务独立假设。</x:v>
      </x:c>
      <x:c r="K4" s="37"/>
      <x:c r="L4" s="37"/>
      <x:c r="M4" s="37"/>
      <x:c r="N4" s="37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3" customHeight="1">
      <x:c r="A6" s="2" t="str">
        <x:v>研究对象</x:v>
      </x:c>
      <x:c r="B6" s="2" t="str">
        <x:v>定位</x:v>
      </x:c>
      <x:c r="C6" s="10" t="str">
        <x:v>2025可比EPS</x:v>
      </x:c>
      <x:c r="D6" s="10" t="str">
        <x:v>2026E EPS</x:v>
      </x:c>
      <x:c r="E6" s="10" t="str">
        <x:v>2027E EPS</x:v>
      </x:c>
      <x:c r="F6" s="10" t="str">
        <x:v>2028E EPS</x:v>
      </x:c>
      <x:c r="G6" s="10" t="str">
        <x:v>2029E EPS</x:v>
      </x:c>
      <x:c r="H6" s="10" t="str">
        <x:v>2030E EPS</x:v>
      </x:c>
      <x:c r="I6" s="2"/>
      <x:c r="J6" s="2"/>
      <x:c r="K6" s="2"/>
      <x:c r="L6" s="2"/>
      <x:c r="M6" s="2"/>
      <x:c r="N6" s="2"/>
    </x:row>
    <x:row r="7" ht="28" customHeight="1">
      <x:c r="A7" s="2" t="str">
        <x:v>爱博</x:v>
      </x:c>
      <x:c r="B7" s="47" t="str">
        <x:v>产品端核心研究</x:v>
      </x:c>
      <x:c r="C7" s="50" t="n">
        <x:f>'IOL'!C37</x:f>
        <x:v>1.3194433910736185</x:v>
      </x:c>
      <x:c r="D7" s="50" t="n">
        <x:f>'IOL'!D37</x:f>
        <x:v>1.2520152102145103</x:v>
      </x:c>
      <x:c r="E7" s="50" t="n">
        <x:f>'IOL'!E37</x:f>
        <x:v>1.480124469017887</x:v>
      </x:c>
      <x:c r="F7" s="50" t="n">
        <x:f>'IOL'!F37</x:f>
        <x:v>1.7738380918942076</x:v>
      </x:c>
      <x:c r="G7" s="50" t="n">
        <x:f>'IOL'!G37</x:f>
        <x:v>2.0942403851933835</x:v>
      </x:c>
      <x:c r="H7" s="50" t="n">
        <x:f>'IOL'!H37</x:f>
        <x:v>2.446191890404266</x:v>
      </x:c>
      <x:c r="I7" s="2"/>
      <x:c r="J7" s="2"/>
      <x:c r="K7" s="2"/>
      <x:c r="L7" s="2"/>
      <x:c r="M7" s="2"/>
      <x:c r="N7" s="2"/>
    </x:row>
    <x:row r="8" ht="28" customHeight="1">
      <x:c r="A8" s="2" t="str">
        <x:v>爱尔</x:v>
      </x:c>
      <x:c r="B8" s="47" t="str">
        <x:v>服务端核心研究</x:v>
      </x:c>
      <x:c r="C8" s="50" t="n">
        <x:f>'Aier'!C29</x:f>
        <x:v>0.3384024106680623</x:v>
      </x:c>
      <x:c r="D8" s="50" t="n">
        <x:f>'Aier'!D29</x:f>
        <x:v>0.2919021111058289</x:v>
      </x:c>
      <x:c r="E8" s="50" t="n">
        <x:f>'Aier'!E29</x:f>
        <x:v>0.3127340384654392</x:v>
      </x:c>
      <x:c r="F8" s="50" t="n">
        <x:f>'Aier'!F29</x:f>
        <x:v>0.33512157852326824</x:v>
      </x:c>
      <x:c r="G8" s="50" t="n">
        <x:f>'Aier'!G29</x:f>
        <x:v>0.35776202067916624</x:v>
      </x:c>
      <x:c r="H8" s="50" t="n">
        <x:f>'Aier'!H29</x:f>
        <x:v>0.38070882612825035</x:v>
      </x:c>
      <x:c r="I8" s="2"/>
      <x:c r="J8" s="2"/>
      <x:c r="K8" s="2"/>
      <x:c r="L8" s="2"/>
      <x:c r="M8" s="2"/>
      <x:c r="N8" s="2"/>
    </x:row>
    <x:row r="9" ht="28" customHeight="1">
      <x:c r="A9" s="2" t="str">
        <x:v>可孚</x:v>
      </x:c>
      <x:c r="B9" s="47" t="str">
        <x:v>门店盈利待验证</x:v>
      </x:c>
      <x:c r="C9" s="50" t="n">
        <x:f>'Sensory'!C21</x:f>
        <x:v>1.3118767519397176</x:v>
      </x:c>
      <x:c r="D9" s="50" t="n">
        <x:f>'Sensory'!D21</x:f>
        <x:v>1.3944314705269734</x:v>
      </x:c>
      <x:c r="E9" s="50" t="n">
        <x:f>'Sensory'!E21</x:f>
        <x:v>1.4866872627596264</x:v>
      </x:c>
      <x:c r="F9" s="50" t="n">
        <x:f>'Sensory'!F21</x:f>
        <x:v>1.5899276808070577</x:v>
      </x:c>
      <x:c r="G9" s="50" t="n">
        <x:f>'Sensory'!G21</x:f>
        <x:v>1.7056314081990034</x:v>
      </x:c>
      <x:c r="H9" s="50" t="n">
        <x:f>'Sensory'!H21</x:f>
        <x:v>1.8355034928088811</x:v>
      </x:c>
      <x:c r="I9" s="2"/>
      <x:c r="J9" s="2"/>
      <x:c r="K9" s="2"/>
      <x:c r="L9" s="2"/>
      <x:c r="M9" s="2"/>
      <x:c r="N9" s="2"/>
    </x:row>
    <x:row r="10" ht="28" customHeight="1">
      <x:c r="A10" s="2" t="str">
        <x:v>明月</x:v>
      </x:c>
      <x:c r="B10" s="47" t="str">
        <x:v>小基数假设样本</x:v>
      </x:c>
      <x:c r="C10" s="50" t="n">
        <x:f>'Sensory'!C45</x:f>
        <x:v>0.8247495255619886</x:v>
      </x:c>
      <x:c r="D10" s="50" t="n">
        <x:f>'Sensory'!D45</x:f>
        <x:v>0.8847037931721619</x:v>
      </x:c>
      <x:c r="E10" s="50" t="n">
        <x:f>'Sensory'!E45</x:f>
        <x:v>0.95289150643702</x:v>
      </x:c>
      <x:c r="F10" s="50" t="n">
        <x:f>'Sensory'!F45</x:f>
        <x:v>1.0312950573215498</x:v>
      </x:c>
      <x:c r="G10" s="50" t="n">
        <x:f>'Sensory'!G45</x:f>
        <x:v>1.1224671732936637</x:v>
      </x:c>
      <x:c r="H10" s="50" t="n">
        <x:f>'Sensory'!H45</x:f>
        <x:v>1.2297007988707485</x:v>
      </x:c>
      <x:c r="I10" s="2"/>
      <x:c r="J10" s="2"/>
      <x:c r="K10" s="2"/>
      <x:c r="L10" s="2"/>
      <x:c r="M10" s="2"/>
      <x:c r="N10" s="2"/>
    </x:row>
    <x:row r="11" ht="28" customHeight="1">
      <x:c r="A11" s="2" t="str">
        <x:v>瑞迈特</x:v>
      </x:c>
      <x:c r="B11" s="47" t="str">
        <x:v>全球PAP观察</x:v>
      </x:c>
      <x:c r="C11" s="50" t="n">
        <x:f>'PAP'!C32</x:f>
        <x:v>1.4739638355483413</x:v>
      </x:c>
      <x:c r="D11" s="50" t="n">
        <x:f>'PAP'!D32</x:f>
        <x:v>2.0534533464304228</x:v>
      </x:c>
      <x:c r="E11" s="50" t="n">
        <x:f>'PAP'!E32</x:f>
        <x:v>2.361448038876221</x:v>
      </x:c>
      <x:c r="F11" s="50" t="n">
        <x:f>'PAP'!F32</x:f>
        <x:v>2.631469839229292</x:v>
      </x:c>
      <x:c r="G11" s="50" t="n">
        <x:f>'PAP'!G32</x:f>
        <x:v>2.812444944679303</x:v>
      </x:c>
      <x:c r="H11" s="50" t="n">
        <x:f>'PAP'!H32</x:f>
        <x:v>2.9125021096363928</x:v>
      </x:c>
      <x:c r="I11" s="2"/>
      <x:c r="J11" s="2"/>
      <x:c r="K11" s="2"/>
      <x:c r="L11" s="2"/>
      <x:c r="M11" s="2"/>
      <x:c r="N11" s="2"/>
    </x:row>
    <x:row r="12" ht="28" customHeight="1">
      <x:c r="A12" s="2" t="str">
        <x:v>美好</x:v>
      </x:c>
      <x:c r="B12" s="47" t="str">
        <x:v>全球供应链新增</x:v>
      </x:c>
      <x:c r="C12" s="50" t="n">
        <x:f>'PAP'!C50</x:f>
        <x:v>0.34862091665648703</x:v>
      </x:c>
      <x:c r="D12" s="50" t="n">
        <x:f>'PAP'!D50</x:f>
        <x:v>0.34862871241434973</x:v>
      </x:c>
      <x:c r="E12" s="50" t="n">
        <x:f>'PAP'!E50</x:f>
        <x:v>0.3842906141845176</x:v>
      </x:c>
      <x:c r="F12" s="50" t="n">
        <x:f>'PAP'!F50</x:f>
        <x:v>0.42058183609375166</x:v>
      </x:c>
      <x:c r="G12" s="50" t="n">
        <x:f>'PAP'!G50</x:f>
        <x:v>0.45191283698858936</x:v>
      </x:c>
      <x:c r="H12" s="50" t="n">
        <x:f>'PAP'!H50</x:f>
        <x:v>0.48578315880154016</x:v>
      </x:c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10"/>
      <x:c r="D13" s="10"/>
      <x:c r="E13" s="10"/>
      <x:c r="F13" s="10"/>
      <x:c r="G13" s="10"/>
      <x:c r="H13" s="10"/>
      <x:c r="I13" s="2"/>
      <x:c r="J13" s="2"/>
      <x:c r="K13" s="2"/>
      <x:c r="L13" s="2"/>
      <x:c r="M13" s="2"/>
      <x:c r="N13" s="2"/>
    </x:row>
    <x:row r="14" ht="23" customHeight="1">
      <x:c r="A14" s="2"/>
      <x:c r="B14" s="2"/>
      <x:c r="C14" s="10"/>
      <x:c r="D14" s="10"/>
      <x:c r="E14" s="10"/>
      <x:c r="F14" s="10"/>
      <x:c r="G14" s="10"/>
      <x:c r="H14" s="10"/>
      <x:c r="I14" s="2"/>
      <x:c r="J14" s="2"/>
      <x:c r="K14" s="2"/>
      <x:c r="L14" s="2"/>
      <x:c r="M14" s="2"/>
      <x:c r="N14" s="2"/>
    </x:row>
    <x:row r="15" ht="27" customHeight="1">
      <x:c r="A15" s="45" t="str">
        <x:v>读数约束：情景反映机制，不构成2026年盈利预测</x:v>
      </x:c>
      <x:c r="B15" s="45"/>
      <x:c r="C15" s="46"/>
      <x:c r="D15" s="46"/>
      <x:c r="E15" s="46"/>
      <x:c r="F15" s="46"/>
      <x:c r="G15" s="46"/>
      <x:c r="H15" s="46"/>
      <x:c r="I15" s="2"/>
      <x:c r="J15" s="2"/>
      <x:c r="K15" s="2"/>
      <x:c r="L15" s="2"/>
      <x:c r="M15" s="2"/>
      <x:c r="N15" s="2"/>
    </x:row>
    <x:row r="16" ht="23" customHeight="1">
      <x:c r="A16" s="47" t="str">
        <x:v>IOL高低端GM、爱尔眼数/采购、可孚听力GM和明月渐进绝对收入均缺单独披露，因此蓝字参数是研究假设。爱博/爱尔/可孚/明月采用2025扣非锚+分部变化+其他业务增量桥；瑞迈特按地区GP−费用校准；美好为全球供应链。静态股本经过转增/注销统一，不可直接与历史报告EPS比较。</x:v>
      </x:c>
      <x:c r="B16" s="47"/>
      <x:c r="C16" s="48"/>
      <x:c r="D16" s="48"/>
      <x:c r="E16" s="48"/>
      <x:c r="F16" s="48"/>
      <x:c r="G16" s="48"/>
      <x:c r="H16" s="48"/>
      <x:c r="I16" s="2"/>
      <x:c r="J16" s="2"/>
      <x:c r="K16" s="2"/>
      <x:c r="L16" s="2"/>
      <x:c r="M16" s="2"/>
      <x:c r="N16" s="2"/>
    </x:row>
    <x:row r="17" ht="23" customHeight="1">
      <x:c r="A17" s="47"/>
      <x:c r="B17" s="47"/>
      <x:c r="C17" s="48"/>
      <x:c r="D17" s="48"/>
      <x:c r="E17" s="48"/>
      <x:c r="F17" s="48"/>
      <x:c r="G17" s="48"/>
      <x:c r="H17" s="48"/>
      <x:c r="I17" s="2"/>
      <x:c r="J17" s="2"/>
      <x:c r="K17" s="2"/>
      <x:c r="L17" s="2"/>
      <x:c r="M17" s="2"/>
      <x:c r="N17" s="2"/>
    </x:row>
    <x:row r="18" ht="23" customHeight="1">
      <x:c r="A18" s="47"/>
      <x:c r="B18" s="47"/>
      <x:c r="C18" s="48"/>
      <x:c r="D18" s="48"/>
      <x:c r="E18" s="48"/>
      <x:c r="F18" s="48"/>
      <x:c r="G18" s="48"/>
      <x:c r="H18" s="48"/>
      <x:c r="I18" s="2"/>
      <x:c r="J18" s="2"/>
      <x:c r="K18" s="2"/>
      <x:c r="L18" s="2"/>
      <x:c r="M18" s="2"/>
      <x:c r="N18" s="2"/>
    </x:row>
    <x:row r="19" ht="23" customHeight="1">
      <x:c r="A19" s="2"/>
      <x:c r="B19" s="2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  <x:c r="M19" s="2"/>
      <x:c r="N19" s="2"/>
    </x:row>
    <x:row r="20" ht="27" customHeight="1">
      <x:c r="A20" s="45" t="str">
        <x:v>2030 EPS：行=情景，列=2026品类数量冲击</x:v>
      </x:c>
      <x:c r="B20" s="45"/>
      <x:c r="C20" s="46"/>
      <x:c r="D20" s="46"/>
      <x:c r="E20" s="46"/>
      <x:c r="F20" s="46"/>
      <x:c r="G20" s="46"/>
      <x:c r="H20" s="46"/>
      <x:c r="I20" s="2"/>
      <x:c r="J20" s="2"/>
      <x:c r="K20" s="2"/>
      <x:c r="L20" s="2"/>
      <x:c r="M20" s="2"/>
      <x:c r="N20" s="2"/>
    </x:row>
    <x:row r="21" ht="23" customHeight="1">
      <x:c r="A21" s="2"/>
      <x:c r="B21" s="2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  <x:c r="M21" s="2"/>
      <x:c r="N21" s="2"/>
    </x:row>
    <x:row r="22" ht="23" customHeight="1">
      <x:c r="A22" s="2" t="str">
        <x:v>爱博</x:v>
      </x:c>
      <x:c r="B22" s="2"/>
      <x:c r="C22" s="10"/>
      <x:c r="D22" s="10"/>
      <x:c r="E22" s="10"/>
      <x:c r="F22" s="10" t="str">
        <x:v>爱尔</x:v>
      </x:c>
      <x:c r="G22" s="10"/>
      <x:c r="H22" s="10"/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10" t="n">
        <x:f>H7</x:f>
        <x:v>2.446191890404266</x:v>
      </x:c>
      <x:c r="D23" s="18" t="n">
        <x:v>-0.1</x:v>
      </x:c>
      <x:c r="E23" s="18" t="n">
        <x:v>0</x:v>
      </x:c>
      <x:c r="F23" s="18" t="n">
        <x:v>0.1</x:v>
      </x:c>
      <x:c r="G23" s="10"/>
      <x:c r="H23" s="10" t="n">
        <x:f>H8</x:f>
        <x:v>0.38070882612825035</x:v>
      </x:c>
      <x:c r="I23" s="18" t="n">
        <x:v>-0.1</x:v>
      </x:c>
      <x:c r="J23" s="18" t="n">
        <x:v>0</x:v>
      </x:c>
      <x:c r="K23" s="18" t="n">
        <x:v>0.1</x:v>
      </x:c>
      <x:c r="L23" s="2"/>
      <x:c r="M23" s="2"/>
      <x:c r="N23" s="2"/>
    </x:row>
    <x:row r="24" ht="23" customHeight="1">
      <x:c r="A24" s="2"/>
      <x:c r="B24" s="2"/>
      <x:c r="C24" s="10" t="n">
        <x:v>1</x:v>
      </x:c>
      <x:c r="D24" s="42" t="n">
        <x:f t="dataTable" ref="D24:F26" dt2D="1" r1="B4" r2="B3"/>
        <x:v>0.4893156415848</x:v>
      </x:c>
      <x:c r="E24" s="42" t="n">
        <x:v>0.5828173453721</x:v>
      </x:c>
      <x:c r="F24" s="42" t="n">
        <x:v>0.6763190491594</x:v>
      </x:c>
      <x:c r="G24" s="10"/>
      <x:c r="H24" s="10" t="n">
        <x:v>1</x:v>
      </x:c>
      <x:c r="I24" s="42" t="n">
        <x:f t="dataTable" ref="I24:K26" dt2D="1" r1="B4" r2="B3"/>
        <x:v>0.2091326884673</x:v>
      </x:c>
      <x:c r="J24" s="42" t="n">
        <x:v>0.2079265295666</x:v>
      </x:c>
      <x:c r="K24" s="42" t="n">
        <x:v>0.2067203706659</x:v>
      </x:c>
      <x:c r="L24" s="2"/>
      <x:c r="M24" s="2"/>
      <x:c r="N24" s="2"/>
    </x:row>
    <x:row r="25" ht="23" customHeight="1">
      <x:c r="A25" s="2"/>
      <x:c r="B25" s="2"/>
      <x:c r="C25" s="10" t="n">
        <x:v>2</x:v>
      </x:c>
      <x:c r="D25" s="42" t="n">
        <x:v>2.1948009943063</x:v>
      </x:c>
      <x:c r="E25" s="42" t="n">
        <x:v>2.4461918904043</x:v>
      </x:c>
      <x:c r="F25" s="42" t="n">
        <x:v>2.6975827865023</x:v>
      </x:c>
      <x:c r="G25" s="10"/>
      <x:c r="H25" s="10" t="n">
        <x:v>2</x:v>
      </x:c>
      <x:c r="I25" s="42" t="n">
        <x:v>0.3758430815059</x:v>
      </x:c>
      <x:c r="J25" s="42" t="n">
        <x:v>0.3807088261283</x:v>
      </x:c>
      <x:c r="K25" s="42" t="n">
        <x:v>0.3855745707506</x:v>
      </x:c>
      <x:c r="L25" s="2"/>
      <x:c r="M25" s="2"/>
      <x:c r="N25" s="2"/>
    </x:row>
    <x:row r="26" ht="23" customHeight="1">
      <x:c r="A26" s="2"/>
      <x:c r="B26" s="2"/>
      <x:c r="C26" s="10" t="n">
        <x:v>3</x:v>
      </x:c>
      <x:c r="D26" s="42" t="n">
        <x:v>4.2483213437731</x:v>
      </x:c>
      <x:c r="E26" s="42" t="n">
        <x:v>4.653307749525</x:v>
      </x:c>
      <x:c r="F26" s="42" t="n">
        <x:v>5.058294155277</x:v>
      </x:c>
      <x:c r="G26" s="10"/>
      <x:c r="H26" s="10" t="n">
        <x:v>3</x:v>
      </x:c>
      <x:c r="I26" s="42" t="n">
        <x:v>0.5205609406631</x:v>
      </x:c>
      <x:c r="J26" s="42" t="n">
        <x:v>0.5332783778944</x:v>
      </x:c>
      <x:c r="K26" s="42" t="n">
        <x:v>0.5459958151257</x:v>
      </x:c>
      <x:c r="L26" s="2"/>
      <x:c r="M26" s="2"/>
      <x:c r="N26" s="2"/>
    </x:row>
    <x:row r="27" ht="23" customHeight="1">
      <x:c r="A27" s="2"/>
      <x:c r="B27" s="2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  <x:c r="M29" s="2"/>
      <x:c r="N29" s="2"/>
    </x:row>
    <x:row r="30" ht="23" customHeight="1">
      <x:c r="A30" s="2" t="str">
        <x:v>可孚</x:v>
      </x:c>
      <x:c r="B30" s="2"/>
      <x:c r="C30" s="10"/>
      <x:c r="D30" s="10"/>
      <x:c r="E30" s="10"/>
      <x:c r="F30" s="10" t="str">
        <x:v>明月</x:v>
      </x:c>
      <x:c r="G30" s="10"/>
      <x:c r="H30" s="10"/>
      <x:c r="I30" s="2"/>
      <x:c r="J30" s="2"/>
      <x:c r="K30" s="2"/>
      <x:c r="L30" s="2"/>
      <x:c r="M30" s="2"/>
      <x:c r="N30" s="2"/>
    </x:row>
    <x:row r="31" ht="23" customHeight="1">
      <x:c r="A31" s="2"/>
      <x:c r="B31" s="2"/>
      <x:c r="C31" s="10" t="n">
        <x:f>H9</x:f>
        <x:v>1.8355034928088811</x:v>
      </x:c>
      <x:c r="D31" s="18" t="n">
        <x:v>-0.1</x:v>
      </x:c>
      <x:c r="E31" s="18" t="n">
        <x:v>0</x:v>
      </x:c>
      <x:c r="F31" s="18" t="n">
        <x:v>0.1</x:v>
      </x:c>
      <x:c r="G31" s="10"/>
      <x:c r="H31" s="10" t="n">
        <x:f>H10</x:f>
        <x:v>1.2297007988707485</x:v>
      </x:c>
      <x:c r="I31" s="18" t="n">
        <x:v>-0.1</x:v>
      </x:c>
      <x:c r="J31" s="18" t="n">
        <x:v>0</x:v>
      </x:c>
      <x:c r="K31" s="18" t="n">
        <x:v>0.1</x:v>
      </x:c>
      <x:c r="L31" s="2"/>
      <x:c r="M31" s="2"/>
      <x:c r="N31" s="2"/>
    </x:row>
    <x:row r="32" ht="23" customHeight="1">
      <x:c r="A32" s="2"/>
      <x:c r="B32" s="2"/>
      <x:c r="C32" s="10" t="n">
        <x:v>1</x:v>
      </x:c>
      <x:c r="D32" s="42" t="n">
        <x:f t="dataTable" ref="D32:F34" dt2D="1" r1="B4" r2="B3"/>
        <x:v>1.2881752434581</x:v>
      </x:c>
      <x:c r="E32" s="42" t="n">
        <x:v>1.3044615354071</x:v>
      </x:c>
      <x:c r="F32" s="42" t="n">
        <x:v>1.3207478273561</x:v>
      </x:c>
      <x:c r="G32" s="10"/>
      <x:c r="H32" s="10" t="n">
        <x:v>1</x:v>
      </x:c>
      <x:c r="I32" s="42" t="n">
        <x:f t="dataTable" ref="I32:K34" dt2D="1" r1="B4" r2="B3"/>
        <x:v>0.8519892856275</x:v>
      </x:c>
      <x:c r="J32" s="42" t="n">
        <x:v>0.8618029859901</x:v>
      </x:c>
      <x:c r="K32" s="42" t="n">
        <x:v>0.8716166863528</x:v>
      </x:c>
      <x:c r="L32" s="2"/>
      <x:c r="M32" s="2"/>
      <x:c r="N32" s="2"/>
    </x:row>
    <x:row r="33" ht="23" customHeight="1">
      <x:c r="A33" s="2"/>
      <x:c r="B33" s="2"/>
      <x:c r="C33" s="10" t="n">
        <x:v>2</x:v>
      </x:c>
      <x:c r="D33" s="42" t="n">
        <x:v>1.7798558911196</x:v>
      </x:c>
      <x:c r="E33" s="42" t="n">
        <x:v>1.8355034928089</x:v>
      </x:c>
      <x:c r="F33" s="42" t="n">
        <x:v>1.8911510944981</x:v>
      </x:c>
      <x:c r="G33" s="10"/>
      <x:c r="H33" s="10" t="n">
        <x:v>2</x:v>
      </x:c>
      <x:c r="I33" s="42" t="n">
        <x:v>1.2037809222937</x:v>
      </x:c>
      <x:c r="J33" s="42" t="n">
        <x:v>1.2297007988707</x:v>
      </x:c>
      <x:c r="K33" s="42" t="n">
        <x:v>1.2556206754478</x:v>
      </x:c>
      <x:c r="L33" s="2"/>
      <x:c r="M33" s="2"/>
      <x:c r="N33" s="2"/>
    </x:row>
    <x:row r="34" ht="23" customHeight="1">
      <x:c r="A34" s="2"/>
      <x:c r="B34" s="2"/>
      <x:c r="C34" s="10" t="n">
        <x:v>3</x:v>
      </x:c>
      <x:c r="D34" s="42" t="n">
        <x:v>2.6357668733848</x:v>
      </x:c>
      <x:c r="E34" s="42" t="n">
        <x:v>2.7536696387459</x:v>
      </x:c>
      <x:c r="F34" s="42" t="n">
        <x:v>2.871572404107</x:v>
      </x:c>
      <x:c r="G34" s="10"/>
      <x:c r="H34" s="10" t="n">
        <x:v>3</x:v>
      </x:c>
      <x:c r="I34" s="42" t="n">
        <x:v>1.5957622627975</x:v>
      </x:c>
      <x:c r="J34" s="42" t="n">
        <x:v>1.6423970207862</x:v>
      </x:c>
      <x:c r="K34" s="42" t="n">
        <x:v>1.689031778775</x:v>
      </x:c>
      <x:c r="L34" s="2"/>
      <x:c r="M34" s="2"/>
      <x:c r="N34" s="2"/>
    </x:row>
    <x:row r="35" ht="23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10"/>
      <x:c r="D37" s="10"/>
      <x:c r="E37" s="10"/>
      <x:c r="F37" s="10"/>
      <x:c r="G37" s="10"/>
      <x:c r="H37" s="10"/>
      <x:c r="I37" s="2"/>
      <x:c r="J37" s="2"/>
      <x:c r="K37" s="2"/>
      <x:c r="L37" s="2"/>
      <x:c r="M37" s="2"/>
      <x:c r="N37" s="2"/>
    </x:row>
    <x:row r="38" ht="23" customHeight="1">
      <x:c r="A38" s="2" t="str">
        <x:v>瑞迈特</x:v>
      </x:c>
      <x:c r="B38" s="2"/>
      <x:c r="C38" s="10"/>
      <x:c r="D38" s="10"/>
      <x:c r="E38" s="10"/>
      <x:c r="F38" s="10" t="str">
        <x:v>美好</x:v>
      </x:c>
      <x:c r="G38" s="10"/>
      <x:c r="H38" s="10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10" t="n">
        <x:f>H11</x:f>
        <x:v>2.9125021096363928</x:v>
      </x:c>
      <x:c r="D39" s="18" t="n">
        <x:v>-0.1</x:v>
      </x:c>
      <x:c r="E39" s="18" t="n">
        <x:v>0</x:v>
      </x:c>
      <x:c r="F39" s="18" t="n">
        <x:v>0.1</x:v>
      </x:c>
      <x:c r="G39" s="10"/>
      <x:c r="H39" s="10" t="n">
        <x:f>H12</x:f>
        <x:v>0.48578315880154016</x:v>
      </x:c>
      <x:c r="I39" s="18" t="n">
        <x:v>-0.1</x:v>
      </x:c>
      <x:c r="J39" s="18" t="n">
        <x:v>0</x:v>
      </x:c>
      <x:c r="K39" s="18" t="n">
        <x:v>0.1</x:v>
      </x:c>
      <x:c r="L39" s="2"/>
      <x:c r="M39" s="2"/>
      <x:c r="N39" s="2"/>
    </x:row>
    <x:row r="40" ht="23" customHeight="1">
      <x:c r="A40" s="2"/>
      <x:c r="B40" s="2"/>
      <x:c r="C40" s="10" t="n">
        <x:v>1</x:v>
      </x:c>
      <x:c r="D40" s="42" t="n">
        <x:f t="dataTable" ref="D40:F42" dt2D="1" r1="B4" r2="B3"/>
        <x:v>0.0982123779451</x:v>
      </x:c>
      <x:c r="E40" s="42" t="n">
        <x:v>0.2956996831626</x:v>
      </x:c>
      <x:c r="F40" s="42" t="n">
        <x:v>0.4931869883801</x:v>
      </x:c>
      <x:c r="G40" s="10"/>
      <x:c r="H40" s="10" t="n">
        <x:v>1</x:v>
      </x:c>
      <x:c r="I40" s="42" t="n">
        <x:f t="dataTable" ref="I40:K42" dt2D="1" r1="B4" r2="B3"/>
        <x:v>0.1513923773276</x:v>
      </x:c>
      <x:c r="J40" s="42" t="n">
        <x:v>0.1636110381084</x:v>
      </x:c>
      <x:c r="K40" s="42" t="n">
        <x:v>0.1758296988892</x:v>
      </x:c>
      <x:c r="L40" s="2"/>
      <x:c r="M40" s="2"/>
      <x:c r="N40" s="2"/>
    </x:row>
    <x:row r="41" ht="23" customHeight="1">
      <x:c r="A41" s="2"/>
      <x:c r="B41" s="2"/>
      <x:c r="C41" s="10" t="n">
        <x:v>2</x:v>
      </x:c>
      <x:c r="D41" s="42" t="n">
        <x:v>2.4266867499068</x:v>
      </x:c>
      <x:c r="E41" s="42" t="n">
        <x:v>2.9125021096364</x:v>
      </x:c>
      <x:c r="F41" s="42" t="n">
        <x:v>3.398317469366</x:v>
      </x:c>
      <x:c r="G41" s="10"/>
      <x:c r="H41" s="10" t="n">
        <x:v>2</x:v>
      </x:c>
      <x:c r="I41" s="42" t="n">
        <x:v>0.4509166959492</x:v>
      </x:c>
      <x:c r="J41" s="42" t="n">
        <x:v>0.4857831588015</x:v>
      </x:c>
      <x:c r="K41" s="42" t="n">
        <x:v>0.5206496216539</x:v>
      </x:c>
      <x:c r="L41" s="2"/>
      <x:c r="M41" s="2"/>
      <x:c r="N41" s="2"/>
    </x:row>
    <x:row r="42" ht="23" customHeight="1">
      <x:c r="A42" s="2"/>
      <x:c r="B42" s="2"/>
      <x:c r="C42" s="10" t="n">
        <x:v>3</x:v>
      </x:c>
      <x:c r="D42" s="42" t="n">
        <x:v>4.5263951070282</x:v>
      </x:c>
      <x:c r="E42" s="42" t="n">
        <x:v>5.2455113953268</x:v>
      </x:c>
      <x:c r="F42" s="42" t="n">
        <x:v>5.9646276836255</x:v>
      </x:c>
      <x:c r="G42" s="10"/>
      <x:c r="H42" s="10" t="n">
        <x:v>3</x:v>
      </x:c>
      <x:c r="I42" s="42" t="n">
        <x:v>0.6684377050161</x:v>
      </x:c>
      <x:c r="J42" s="42" t="n">
        <x:v>0.7179999603643</x:v>
      </x:c>
      <x:c r="K42" s="42" t="n">
        <x:v>0.7675622157124</x:v>
      </x:c>
      <x:c r="L42" s="2"/>
      <x:c r="M42" s="2"/>
      <x:c r="N42" s="2"/>
    </x:row>
    <x:row r="43" ht="23" customHeight="1">
      <x:c r="A43" s="2"/>
      <x:c r="B43" s="2"/>
      <x:c r="C43" s="10"/>
      <x:c r="D43" s="10"/>
      <x:c r="E43" s="10"/>
      <x:c r="F43" s="10"/>
      <x:c r="G43" s="10"/>
      <x:c r="H43" s="10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10"/>
      <x:c r="D44" s="10"/>
      <x:c r="E44" s="10"/>
      <x:c r="F44" s="10"/>
      <x:c r="G44" s="10"/>
      <x:c r="H44" s="10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10"/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10"/>
      <x:c r="D47" s="10"/>
      <x:c r="E47" s="10"/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23" customHeight="1">
      <x:c r="A48" s="2" t="str">
        <x:v>价格与机构容量见Market；财务来源见Actuals/Sources；参数见Assumptions。</x:v>
      </x:c>
      <x:c r="B48" s="2"/>
      <x:c r="C48" s="10"/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15:H15"/>
    <x:mergeCell ref="A16:H18"/>
    <x:mergeCell ref="A20:H20"/>
    <x:mergeCell ref="J3:N3"/>
    <x:mergeCell ref="J4:N4"/>
  </x:mergeCells>
  <x:dataValidations count="1">
    <x:dataValidation type="list" sqref="B3">
      <x:formula1>"1,2,3"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可调驱动：单一情景选择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每组：Active / 下行 / 基准 / 上行。历史不受情景切换影响。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10"/>
      <x:c r="D6" s="10"/>
      <x:c r="E6" s="10"/>
      <x:c r="F6" s="10"/>
      <x:c r="G6" s="10"/>
      <x:c r="H6" s="10"/>
      <x:c r="I6" s="2"/>
      <x:c r="J6" s="2"/>
      <x:c r="K6" s="2"/>
      <x:c r="L6" s="2"/>
      <x:c r="M6" s="2"/>
      <x:c r="N6" s="2"/>
    </x:row>
    <x:row r="7" ht="25" customHeight="1">
      <x:c r="A7" s="6" t="str">
        <x:v>爱博 IOL 总出货量增速 | Active</x:v>
      </x:c>
      <x:c r="B7" s="6"/>
      <x:c r="C7" s="24"/>
      <x:c r="D7" s="26" t="n">
        <x:f>CHOOSE(Summary!$B$3,D8,D9,D10)</x:f>
        <x:v>-0.05</x:v>
      </x:c>
      <x:c r="E7" s="26" t="n">
        <x:f>CHOOSE(Summary!$B$3,E8,E9,E10)</x:f>
        <x:v>0.03</x:v>
      </x:c>
      <x:c r="F7" s="26" t="n">
        <x:f>CHOOSE(Summary!$B$3,F8,F9,F10)</x:f>
        <x:v>0.05</x:v>
      </x:c>
      <x:c r="G7" s="26" t="n">
        <x:f>CHOOSE(Summary!$B$3,G8,G9,G10)</x:f>
        <x:v>0.05</x:v>
      </x:c>
      <x:c r="H7" s="26" t="n">
        <x:f>CHOOSE(Summary!$B$3,H8,H9,H10)</x:f>
        <x:v>0.05</x:v>
      </x:c>
      <x:c r="I7" s="2"/>
      <x:c r="J7" s="37" t="str">
        <x:v>非全国手术量预测；兼含份额/渠道库存</x:v>
      </x:c>
      <x:c r="K7" s="37"/>
      <x:c r="L7" s="37"/>
      <x:c r="M7" s="37"/>
      <x:c r="N7" s="37"/>
    </x:row>
    <x:row r="8" ht="25" customHeight="1">
      <x:c r="A8" s="2" t="str">
        <x:v>下行</x:v>
      </x:c>
      <x:c r="B8" s="2"/>
      <x:c r="C8" s="10"/>
      <x:c r="D8" s="14" t="n">
        <x:v>-0.1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2"/>
      <x:c r="J8" s="37"/>
      <x:c r="K8" s="37"/>
      <x:c r="L8" s="37"/>
      <x:c r="M8" s="37"/>
      <x:c r="N8" s="37"/>
    </x:row>
    <x:row r="9" ht="25" customHeight="1">
      <x:c r="A9" s="2" t="str">
        <x:v>基准</x:v>
      </x:c>
      <x:c r="B9" s="2"/>
      <x:c r="C9" s="10"/>
      <x:c r="D9" s="14" t="n">
        <x:v>-0.05</x:v>
      </x:c>
      <x:c r="E9" s="14" t="n">
        <x:v>0.03</x:v>
      </x:c>
      <x:c r="F9" s="14" t="n">
        <x:v>0.05</x:v>
      </x:c>
      <x:c r="G9" s="14" t="n">
        <x:v>0.05</x:v>
      </x:c>
      <x:c r="H9" s="14" t="n">
        <x:v>0.05</x:v>
      </x:c>
      <x:c r="I9" s="2"/>
      <x:c r="J9" s="37"/>
      <x:c r="K9" s="37"/>
      <x:c r="L9" s="37"/>
      <x:c r="M9" s="37"/>
      <x:c r="N9" s="37"/>
    </x:row>
    <x:row r="10" ht="25" customHeight="1">
      <x:c r="A10" s="2" t="str">
        <x:v>上行</x:v>
      </x:c>
      <x:c r="B10" s="2"/>
      <x:c r="C10" s="10"/>
      <x:c r="D10" s="14" t="n">
        <x:v>0</x:v>
      </x:c>
      <x:c r="E10" s="14" t="n">
        <x:v>0.08</x:v>
      </x:c>
      <x:c r="F10" s="14" t="n">
        <x:v>0.08</x:v>
      </x:c>
      <x:c r="G10" s="14" t="n">
        <x:v>0.08</x:v>
      </x:c>
      <x:c r="H10" s="14" t="n">
        <x:v>0.08</x:v>
      </x:c>
      <x:c r="I10" s="2"/>
      <x:c r="J10" s="37"/>
      <x:c r="K10" s="37"/>
      <x:c r="L10" s="37"/>
      <x:c r="M10" s="37"/>
      <x:c r="N10" s="37"/>
    </x:row>
    <x:row r="11" ht="25" customHeight="1">
      <x:c r="A11" s="2"/>
      <x:c r="B11" s="2"/>
      <x:c r="C11" s="10"/>
      <x:c r="D11" s="10"/>
      <x:c r="E11" s="10"/>
      <x:c r="F11" s="10"/>
      <x:c r="G11" s="10"/>
      <x:c r="H11" s="10"/>
      <x:c r="I11" s="2"/>
      <x:c r="J11" s="37"/>
      <x:c r="K11" s="37"/>
      <x:c r="L11" s="37"/>
      <x:c r="M11" s="37"/>
      <x:c r="N11" s="37"/>
    </x:row>
    <x:row r="12" ht="25" customHeight="1">
      <x:c r="A12" s="6" t="str">
        <x:v>IOL 高端销量占比(假设) | Active</x:v>
      </x:c>
      <x:c r="B12" s="6"/>
      <x:c r="C12" s="24"/>
      <x:c r="D12" s="26" t="n">
        <x:f>CHOOSE(Summary!$B$3,D13,D14,D15)</x:f>
        <x:v>0.2</x:v>
      </x:c>
      <x:c r="E12" s="26" t="n">
        <x:f>CHOOSE(Summary!$B$3,E13,E14,E15)</x:f>
        <x:v>0.25</x:v>
      </x:c>
      <x:c r="F12" s="26" t="n">
        <x:f>CHOOSE(Summary!$B$3,F13,F14,F15)</x:f>
        <x:v>0.3</x:v>
      </x:c>
      <x:c r="G12" s="26" t="n">
        <x:f>CHOOSE(Summary!$B$3,G13,G14,G15)</x:f>
        <x:v>0.35</x:v>
      </x:c>
      <x:c r="H12" s="26" t="n">
        <x:f>CHOOSE(Summary!$B$3,H13,H14,H15)</x:f>
        <x:v>0.4</x:v>
      </x:c>
      <x:c r="I12" s="2"/>
      <x:c r="J12" s="37" t="str">
        <x:v>未披露2025A精确mix；默认基期15.217%为示意</x:v>
      </x:c>
      <x:c r="K12" s="37"/>
      <x:c r="L12" s="37"/>
      <x:c r="M12" s="37"/>
      <x:c r="N12" s="37"/>
    </x:row>
    <x:row r="13" ht="25" customHeight="1">
      <x:c r="A13" s="2" t="str">
        <x:v>下行</x:v>
      </x:c>
      <x:c r="B13" s="2"/>
      <x:c r="C13" s="10"/>
      <x:c r="D13" s="14" t="n">
        <x:v>0.17</x:v>
      </x:c>
      <x:c r="E13" s="14" t="n">
        <x:v>0.19</x:v>
      </x:c>
      <x:c r="F13" s="14" t="n">
        <x:v>0.21</x:v>
      </x:c>
      <x:c r="G13" s="14" t="n">
        <x:v>0.23</x:v>
      </x:c>
      <x:c r="H13" s="14" t="n">
        <x:v>0.25</x:v>
      </x:c>
      <x:c r="I13" s="2"/>
      <x:c r="J13" s="37"/>
      <x:c r="K13" s="37"/>
      <x:c r="L13" s="37"/>
      <x:c r="M13" s="37"/>
      <x:c r="N13" s="37"/>
    </x:row>
    <x:row r="14" ht="25" customHeight="1">
      <x:c r="A14" s="2" t="str">
        <x:v>基准</x:v>
      </x:c>
      <x:c r="B14" s="2"/>
      <x:c r="C14" s="10"/>
      <x:c r="D14" s="14" t="n">
        <x:v>0.2</x:v>
      </x:c>
      <x:c r="E14" s="14" t="n">
        <x:v>0.25</x:v>
      </x:c>
      <x:c r="F14" s="14" t="n">
        <x:v>0.3</x:v>
      </x:c>
      <x:c r="G14" s="14" t="n">
        <x:v>0.35</x:v>
      </x:c>
      <x:c r="H14" s="14" t="n">
        <x:v>0.4</x:v>
      </x:c>
      <x:c r="I14" s="2"/>
      <x:c r="J14" s="37"/>
      <x:c r="K14" s="37"/>
      <x:c r="L14" s="37"/>
      <x:c r="M14" s="37"/>
      <x:c r="N14" s="37"/>
    </x:row>
    <x:row r="15" ht="25" customHeight="1">
      <x:c r="A15" s="2" t="str">
        <x:v>上行</x:v>
      </x:c>
      <x:c r="B15" s="2"/>
      <x:c r="C15" s="10"/>
      <x:c r="D15" s="14" t="n">
        <x:v>0.23</x:v>
      </x:c>
      <x:c r="E15" s="14" t="n">
        <x:v>0.31</x:v>
      </x:c>
      <x:c r="F15" s="14" t="n">
        <x:v>0.39</x:v>
      </x:c>
      <x:c r="G15" s="14" t="n">
        <x:v>0.46</x:v>
      </x:c>
      <x:c r="H15" s="14" t="n">
        <x:v>0.52</x:v>
      </x:c>
      <x:c r="I15" s="2"/>
      <x:c r="J15" s="37"/>
      <x:c r="K15" s="37"/>
      <x:c r="L15" s="37"/>
      <x:c r="M15" s="37"/>
      <x:c r="N15" s="37"/>
    </x:row>
    <x:row r="16" ht="25" customHeight="1">
      <x:c r="A16" s="2"/>
      <x:c r="B16" s="2"/>
      <x:c r="C16" s="10"/>
      <x:c r="D16" s="10"/>
      <x:c r="E16" s="10"/>
      <x:c r="F16" s="10"/>
      <x:c r="G16" s="10"/>
      <x:c r="H16" s="10"/>
      <x:c r="I16" s="2"/>
      <x:c r="J16" s="37"/>
      <x:c r="K16" s="37"/>
      <x:c r="L16" s="37"/>
      <x:c r="M16" s="37"/>
      <x:c r="N16" s="37"/>
    </x:row>
    <x:row r="17" ht="25" customHeight="1">
      <x:c r="A17" s="6" t="str">
        <x:v>基础 IOL 厂家净ASP同比 | Active</x:v>
      </x:c>
      <x:c r="B17" s="6"/>
      <x:c r="C17" s="24"/>
      <x:c r="D17" s="26" t="n">
        <x:f>CHOOSE(Summary!$B$3,D18,D19,D20)</x:f>
        <x:v>-0.15</x:v>
      </x:c>
      <x:c r="E17" s="26" t="n">
        <x:f>CHOOSE(Summary!$B$3,E18,E19,E20)</x:f>
        <x:v>-0.05</x:v>
      </x:c>
      <x:c r="F17" s="26" t="n">
        <x:f>CHOOSE(Summary!$B$3,F18,F19,F20)</x:f>
        <x:v>-0.03</x:v>
      </x:c>
      <x:c r="G17" s="26" t="n">
        <x:f>CHOOSE(Summary!$B$3,G18,G19,G20)</x:f>
        <x:v>-0.02</x:v>
      </x:c>
      <x:c r="H17" s="26" t="n">
        <x:f>CHOOSE(Summary!$B$3,H18,H19,H20)</x:f>
        <x:v>-0.02</x:v>
      </x:c>
      <x:c r="I17" s="2"/>
      <x:c r="J17" s="37"/>
      <x:c r="K17" s="37"/>
      <x:c r="L17" s="37"/>
      <x:c r="M17" s="37"/>
      <x:c r="N17" s="37"/>
    </x:row>
    <x:row r="18" ht="25" customHeight="1">
      <x:c r="A18" s="2" t="str">
        <x:v>下行</x:v>
      </x:c>
      <x:c r="B18" s="2"/>
      <x:c r="C18" s="10"/>
      <x:c r="D18" s="14" t="n">
        <x:v>-0.15</x:v>
      </x:c>
      <x:c r="E18" s="14" t="n">
        <x:v>-0.1</x:v>
      </x:c>
      <x:c r="F18" s="14" t="n">
        <x:v>-0.07</x:v>
      </x:c>
      <x:c r="G18" s="14" t="n">
        <x:v>-0.05</x:v>
      </x:c>
      <x:c r="H18" s="14" t="n">
        <x:v>-0.05</x:v>
      </x:c>
      <x:c r="I18" s="2"/>
      <x:c r="J18" s="37"/>
      <x:c r="K18" s="37"/>
      <x:c r="L18" s="37"/>
      <x:c r="M18" s="37"/>
      <x:c r="N18" s="37"/>
    </x:row>
    <x:row r="19" ht="25" customHeight="1">
      <x:c r="A19" s="2" t="str">
        <x:v>基准</x:v>
      </x:c>
      <x:c r="B19" s="2"/>
      <x:c r="C19" s="10"/>
      <x:c r="D19" s="14" t="n">
        <x:v>-0.15</x:v>
      </x:c>
      <x:c r="E19" s="14" t="n">
        <x:v>-0.05</x:v>
      </x:c>
      <x:c r="F19" s="14" t="n">
        <x:v>-0.03</x:v>
      </x:c>
      <x:c r="G19" s="14" t="n">
        <x:v>-0.02</x:v>
      </x:c>
      <x:c r="H19" s="14" t="n">
        <x:v>-0.02</x:v>
      </x:c>
      <x:c r="I19" s="2"/>
      <x:c r="J19" s="37"/>
      <x:c r="K19" s="37"/>
      <x:c r="L19" s="37"/>
      <x:c r="M19" s="37"/>
      <x:c r="N19" s="37"/>
    </x:row>
    <x:row r="20" ht="25" customHeight="1">
      <x:c r="A20" s="2" t="str">
        <x:v>上行</x:v>
      </x:c>
      <x:c r="B20" s="2"/>
      <x:c r="C20" s="10"/>
      <x:c r="D20" s="14" t="n">
        <x:v>-0.1</x:v>
      </x:c>
      <x:c r="E20" s="14" t="n">
        <x:v>-0.03</x:v>
      </x:c>
      <x:c r="F20" s="14" t="n">
        <x:v>0</x:v>
      </x:c>
      <x:c r="G20" s="14" t="n">
        <x:v>0</x:v>
      </x:c>
      <x:c r="H20" s="14" t="n">
        <x:v>0</x:v>
      </x:c>
      <x:c r="I20" s="2"/>
      <x:c r="J20" s="37"/>
      <x:c r="K20" s="37"/>
      <x:c r="L20" s="37"/>
      <x:c r="M20" s="37"/>
      <x:c r="N20" s="37"/>
    </x:row>
    <x:row r="21" ht="25" customHeight="1">
      <x:c r="A21" s="2"/>
      <x:c r="B21" s="2"/>
      <x:c r="C21" s="10"/>
      <x:c r="D21" s="10"/>
      <x:c r="E21" s="10"/>
      <x:c r="F21" s="10"/>
      <x:c r="G21" s="10"/>
      <x:c r="H21" s="10"/>
      <x:c r="I21" s="2"/>
      <x:c r="J21" s="37"/>
      <x:c r="K21" s="37"/>
      <x:c r="L21" s="37"/>
      <x:c r="M21" s="37"/>
      <x:c r="N21" s="37"/>
    </x:row>
    <x:row r="22" ht="25" customHeight="1">
      <x:c r="A22" s="6" t="str">
        <x:v>高端 IOL 厂家净ASP同比 | Active</x:v>
      </x:c>
      <x:c r="B22" s="6"/>
      <x:c r="C22" s="24"/>
      <x:c r="D22" s="26" t="n">
        <x:f>CHOOSE(Summary!$B$3,D23,D24,D25)</x:f>
        <x:v>0</x:v>
      </x:c>
      <x:c r="E22" s="26" t="n">
        <x:f>CHOOSE(Summary!$B$3,E23,E24,E25)</x:f>
        <x:v>0</x:v>
      </x:c>
      <x:c r="F22" s="26" t="n">
        <x:f>CHOOSE(Summary!$B$3,F23,F24,F25)</x:f>
        <x:v>0</x:v>
      </x:c>
      <x:c r="G22" s="26" t="n">
        <x:f>CHOOSE(Summary!$B$3,G23,G24,G25)</x:f>
        <x:v>0</x:v>
      </x:c>
      <x:c r="H22" s="26" t="n">
        <x:f>CHOOSE(Summary!$B$3,H23,H24,H25)</x:f>
        <x:v>0</x:v>
      </x:c>
      <x:c r="I22" s="2"/>
      <x:c r="J22" s="37"/>
      <x:c r="K22" s="37"/>
      <x:c r="L22" s="37"/>
      <x:c r="M22" s="37"/>
      <x:c r="N22" s="37"/>
    </x:row>
    <x:row r="23" ht="25" customHeight="1">
      <x:c r="A23" s="2" t="str">
        <x:v>下行</x:v>
      </x:c>
      <x:c r="B23" s="2"/>
      <x:c r="C23" s="10"/>
      <x:c r="D23" s="14" t="n">
        <x:v>-0.05</x:v>
      </x:c>
      <x:c r="E23" s="14" t="n">
        <x:v>-0.05</x:v>
      </x:c>
      <x:c r="F23" s="14" t="n">
        <x:v>-0.05</x:v>
      </x:c>
      <x:c r="G23" s="14" t="n">
        <x:v>-0.05</x:v>
      </x:c>
      <x:c r="H23" s="14" t="n">
        <x:v>-0.05</x:v>
      </x:c>
      <x:c r="I23" s="2"/>
      <x:c r="J23" s="37"/>
      <x:c r="K23" s="37"/>
      <x:c r="L23" s="37"/>
      <x:c r="M23" s="37"/>
      <x:c r="N23" s="37"/>
    </x:row>
    <x:row r="24" ht="25" customHeight="1">
      <x:c r="A24" s="2" t="str">
        <x:v>基准</x:v>
      </x:c>
      <x:c r="B24" s="2"/>
      <x:c r="C24" s="10"/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2"/>
      <x:c r="J24" s="37"/>
      <x:c r="K24" s="37"/>
      <x:c r="L24" s="37"/>
      <x:c r="M24" s="37"/>
      <x:c r="N24" s="37"/>
    </x:row>
    <x:row r="25" ht="25" customHeight="1">
      <x:c r="A25" s="2" t="str">
        <x:v>上行</x:v>
      </x:c>
      <x:c r="B25" s="2"/>
      <x:c r="C25" s="10"/>
      <x:c r="D25" s="14" t="n">
        <x:v>0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2"/>
      <x:c r="J25" s="37"/>
      <x:c r="K25" s="37"/>
      <x:c r="L25" s="37"/>
      <x:c r="M25" s="37"/>
      <x:c r="N25" s="37"/>
    </x:row>
    <x:row r="26" ht="25" customHeight="1">
      <x:c r="A26" s="2"/>
      <x:c r="B26" s="2"/>
      <x:c r="C26" s="10"/>
      <x:c r="D26" s="10"/>
      <x:c r="E26" s="10"/>
      <x:c r="F26" s="10"/>
      <x:c r="G26" s="10"/>
      <x:c r="H26" s="10"/>
      <x:c r="I26" s="2"/>
      <x:c r="J26" s="37"/>
      <x:c r="K26" s="37"/>
      <x:c r="L26" s="37"/>
      <x:c r="M26" s="37"/>
      <x:c r="N26" s="37"/>
    </x:row>
    <x:row r="27" ht="25" customHeight="1">
      <x:c r="A27" s="6" t="str">
        <x:v>IOL 基础每片成本同比 | Active</x:v>
      </x:c>
      <x:c r="B27" s="6"/>
      <x:c r="C27" s="24"/>
      <x:c r="D27" s="26" t="n">
        <x:f>CHOOSE(Summary!$B$3,D28,D29,D30)</x:f>
        <x:v>0</x:v>
      </x:c>
      <x:c r="E27" s="26" t="n">
        <x:f>CHOOSE(Summary!$B$3,E28,E29,E30)</x:f>
        <x:v>0</x:v>
      </x:c>
      <x:c r="F27" s="26" t="n">
        <x:f>CHOOSE(Summary!$B$3,F28,F29,F30)</x:f>
        <x:v>0</x:v>
      </x:c>
      <x:c r="G27" s="26" t="n">
        <x:f>CHOOSE(Summary!$B$3,G28,G29,G30)</x:f>
        <x:v>0</x:v>
      </x:c>
      <x:c r="H27" s="26" t="n">
        <x:f>CHOOSE(Summary!$B$3,H28,H29,H30)</x:f>
        <x:v>0</x:v>
      </x:c>
      <x:c r="I27" s="2"/>
      <x:c r="J27" s="37" t="str">
        <x:v>与高端成本可分别调节；不假定高端毛利必然更高</x:v>
      </x:c>
      <x:c r="K27" s="37"/>
      <x:c r="L27" s="37"/>
      <x:c r="M27" s="37"/>
      <x:c r="N27" s="37"/>
    </x:row>
    <x:row r="28" ht="25" customHeight="1">
      <x:c r="A28" s="2" t="str">
        <x:v>下行</x:v>
      </x:c>
      <x:c r="B28" s="2"/>
      <x:c r="C28" s="10"/>
      <x:c r="D28" s="14" t="n">
        <x:v>0.03</x:v>
      </x:c>
      <x:c r="E28" s="14" t="n">
        <x:v>0.03</x:v>
      </x:c>
      <x:c r="F28" s="14" t="n">
        <x:v>0.03</x:v>
      </x:c>
      <x:c r="G28" s="14" t="n">
        <x:v>0.03</x:v>
      </x:c>
      <x:c r="H28" s="14" t="n">
        <x:v>0.03</x:v>
      </x:c>
      <x:c r="I28" s="2"/>
      <x:c r="J28" s="37"/>
      <x:c r="K28" s="37"/>
      <x:c r="L28" s="37"/>
      <x:c r="M28" s="37"/>
      <x:c r="N28" s="37"/>
    </x:row>
    <x:row r="29" ht="25" customHeight="1">
      <x:c r="A29" s="2" t="str">
        <x:v>基准</x:v>
      </x:c>
      <x:c r="B29" s="2"/>
      <x:c r="C29" s="10"/>
      <x:c r="D29" s="14" t="n">
        <x:v>0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2"/>
      <x:c r="J29" s="37"/>
      <x:c r="K29" s="37"/>
      <x:c r="L29" s="37"/>
      <x:c r="M29" s="37"/>
      <x:c r="N29" s="37"/>
    </x:row>
    <x:row r="30" ht="25" customHeight="1">
      <x:c r="A30" s="2" t="str">
        <x:v>上行</x:v>
      </x:c>
      <x:c r="B30" s="2"/>
      <x:c r="C30" s="10"/>
      <x:c r="D30" s="14" t="n">
        <x:v>-0.03</x:v>
      </x:c>
      <x:c r="E30" s="14" t="n">
        <x:v>-0.03</x:v>
      </x:c>
      <x:c r="F30" s="14" t="n">
        <x:v>-0.03</x:v>
      </x:c>
      <x:c r="G30" s="14" t="n">
        <x:v>-0.03</x:v>
      </x:c>
      <x:c r="H30" s="14" t="n">
        <x:v>-0.03</x:v>
      </x:c>
      <x:c r="I30" s="2"/>
      <x:c r="J30" s="37"/>
      <x:c r="K30" s="37"/>
      <x:c r="L30" s="37"/>
      <x:c r="M30" s="37"/>
      <x:c r="N30" s="37"/>
    </x:row>
    <x:row r="31" ht="25" customHeight="1">
      <x:c r="A31" s="2"/>
      <x:c r="B31" s="2"/>
      <x:c r="C31" s="10"/>
      <x:c r="D31" s="10"/>
      <x:c r="E31" s="10"/>
      <x:c r="F31" s="10"/>
      <x:c r="G31" s="10"/>
      <x:c r="H31" s="10"/>
      <x:c r="I31" s="2"/>
      <x:c r="J31" s="37"/>
      <x:c r="K31" s="37"/>
      <x:c r="L31" s="37"/>
      <x:c r="M31" s="37"/>
      <x:c r="N31" s="37"/>
    </x:row>
    <x:row r="32" ht="25" customHeight="1">
      <x:c r="A32" s="6" t="str">
        <x:v>IOL 高端每片成本同比 | Active</x:v>
      </x:c>
      <x:c r="B32" s="6"/>
      <x:c r="C32" s="24"/>
      <x:c r="D32" s="26" t="n">
        <x:f>CHOOSE(Summary!$B$3,D33,D34,D35)</x:f>
        <x:v>0</x:v>
      </x:c>
      <x:c r="E32" s="26" t="n">
        <x:f>CHOOSE(Summary!$B$3,E33,E34,E35)</x:f>
        <x:v>0</x:v>
      </x:c>
      <x:c r="F32" s="26" t="n">
        <x:f>CHOOSE(Summary!$B$3,F33,F34,F35)</x:f>
        <x:v>0</x:v>
      </x:c>
      <x:c r="G32" s="26" t="n">
        <x:f>CHOOSE(Summary!$B$3,G33,G34,G35)</x:f>
        <x:v>0</x:v>
      </x:c>
      <x:c r="H32" s="26" t="n">
        <x:f>CHOOSE(Summary!$B$3,H33,H34,H35)</x:f>
        <x:v>0</x:v>
      </x:c>
      <x:c r="I32" s="2"/>
      <x:c r="J32" s="37" t="str">
        <x:v>基期基础毛利按整体实际毛利残差校准</x:v>
      </x:c>
      <x:c r="K32" s="37"/>
      <x:c r="L32" s="37"/>
      <x:c r="M32" s="37"/>
      <x:c r="N32" s="37"/>
    </x:row>
    <x:row r="33" ht="25" customHeight="1">
      <x:c r="A33" s="2" t="str">
        <x:v>下行</x:v>
      </x:c>
      <x:c r="B33" s="2"/>
      <x:c r="C33" s="10"/>
      <x:c r="D33" s="14" t="n">
        <x:v>0.03</x:v>
      </x:c>
      <x:c r="E33" s="14" t="n">
        <x:v>0.03</x:v>
      </x:c>
      <x:c r="F33" s="14" t="n">
        <x:v>0.03</x:v>
      </x:c>
      <x:c r="G33" s="14" t="n">
        <x:v>0.03</x:v>
      </x:c>
      <x:c r="H33" s="14" t="n">
        <x:v>0.03</x:v>
      </x:c>
      <x:c r="I33" s="2"/>
      <x:c r="J33" s="37"/>
      <x:c r="K33" s="37"/>
      <x:c r="L33" s="37"/>
      <x:c r="M33" s="37"/>
      <x:c r="N33" s="37"/>
    </x:row>
    <x:row r="34" ht="25" customHeight="1">
      <x:c r="A34" s="2" t="str">
        <x:v>基准</x:v>
      </x:c>
      <x:c r="B34" s="2"/>
      <x:c r="C34" s="10"/>
      <x:c r="D34" s="14" t="n">
        <x:v>0</x:v>
      </x:c>
      <x:c r="E34" s="14" t="n">
        <x:v>0</x:v>
      </x:c>
      <x:c r="F34" s="14" t="n">
        <x:v>0</x:v>
      </x:c>
      <x:c r="G34" s="14" t="n">
        <x:v>0</x:v>
      </x:c>
      <x:c r="H34" s="14" t="n">
        <x:v>0</x:v>
      </x:c>
      <x:c r="I34" s="2"/>
      <x:c r="J34" s="37"/>
      <x:c r="K34" s="37"/>
      <x:c r="L34" s="37"/>
      <x:c r="M34" s="37"/>
      <x:c r="N34" s="37"/>
    </x:row>
    <x:row r="35" ht="25" customHeight="1">
      <x:c r="A35" s="2" t="str">
        <x:v>上行</x:v>
      </x:c>
      <x:c r="B35" s="2"/>
      <x:c r="C35" s="10"/>
      <x:c r="D35" s="14" t="n">
        <x:v>-0.03</x:v>
      </x:c>
      <x:c r="E35" s="14" t="n">
        <x:v>-0.03</x:v>
      </x:c>
      <x:c r="F35" s="14" t="n">
        <x:v>-0.03</x:v>
      </x:c>
      <x:c r="G35" s="14" t="n">
        <x:v>-0.03</x:v>
      </x:c>
      <x:c r="H35" s="14" t="n">
        <x:v>-0.03</x:v>
      </x:c>
      <x:c r="I35" s="2"/>
      <x:c r="J35" s="37"/>
      <x:c r="K35" s="37"/>
      <x:c r="L35" s="37"/>
      <x:c r="M35" s="37"/>
      <x:c r="N35" s="37"/>
    </x:row>
    <x:row r="36" ht="25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37"/>
      <x:c r="K36" s="37"/>
      <x:c r="L36" s="37"/>
      <x:c r="M36" s="37"/>
      <x:c r="N36" s="37"/>
    </x:row>
    <x:row r="37" ht="25" customHeight="1">
      <x:c r="A37" s="6" t="str">
        <x:v>IOL 增量收入对应费用率 | Active</x:v>
      </x:c>
      <x:c r="B37" s="6"/>
      <x:c r="C37" s="24"/>
      <x:c r="D37" s="26" t="n">
        <x:f>CHOOSE(Summary!$B$3,D38,D39,D40)</x:f>
        <x:v>0.2</x:v>
      </x:c>
      <x:c r="E37" s="26" t="n">
        <x:f>CHOOSE(Summary!$B$3,E38,E39,E40)</x:f>
        <x:v>0.2</x:v>
      </x:c>
      <x:c r="F37" s="26" t="n">
        <x:f>CHOOSE(Summary!$B$3,F38,F39,F40)</x:f>
        <x:v>0.2</x:v>
      </x:c>
      <x:c r="G37" s="26" t="n">
        <x:f>CHOOSE(Summary!$B$3,G38,G39,G40)</x:f>
        <x:v>0.2</x:v>
      </x:c>
      <x:c r="H37" s="26" t="n">
        <x:f>CHOOSE(Summary!$B$3,H38,H39,H40)</x:f>
        <x:v>0.2</x:v>
      </x:c>
      <x:c r="I37" s="2"/>
      <x:c r="J37" s="37"/>
      <x:c r="K37" s="37"/>
      <x:c r="L37" s="37"/>
      <x:c r="M37" s="37"/>
      <x:c r="N37" s="37"/>
    </x:row>
    <x:row r="38" ht="25" customHeight="1">
      <x:c r="A38" s="2" t="str">
        <x:v>下行</x:v>
      </x:c>
      <x:c r="B38" s="2"/>
      <x:c r="C38" s="10"/>
      <x:c r="D38" s="14" t="n">
        <x:v>0.3</x:v>
      </x:c>
      <x:c r="E38" s="14" t="n">
        <x:v>0.3</x:v>
      </x:c>
      <x:c r="F38" s="14" t="n">
        <x:v>0.3</x:v>
      </x:c>
      <x:c r="G38" s="14" t="n">
        <x:v>0.3</x:v>
      </x:c>
      <x:c r="H38" s="14" t="n">
        <x:v>0.3</x:v>
      </x:c>
      <x:c r="I38" s="2"/>
      <x:c r="J38" s="37"/>
      <x:c r="K38" s="37"/>
      <x:c r="L38" s="37"/>
      <x:c r="M38" s="37"/>
      <x:c r="N38" s="37"/>
    </x:row>
    <x:row r="39" ht="25" customHeight="1">
      <x:c r="A39" s="2" t="str">
        <x:v>基准</x:v>
      </x:c>
      <x:c r="B39" s="2"/>
      <x:c r="C39" s="10"/>
      <x:c r="D39" s="14" t="n">
        <x:v>0.2</x:v>
      </x:c>
      <x:c r="E39" s="14" t="n">
        <x:v>0.2</x:v>
      </x:c>
      <x:c r="F39" s="14" t="n">
        <x:v>0.2</x:v>
      </x:c>
      <x:c r="G39" s="14" t="n">
        <x:v>0.2</x:v>
      </x:c>
      <x:c r="H39" s="14" t="n">
        <x:v>0.2</x:v>
      </x:c>
      <x:c r="I39" s="2"/>
      <x:c r="J39" s="37"/>
      <x:c r="K39" s="37"/>
      <x:c r="L39" s="37"/>
      <x:c r="M39" s="37"/>
      <x:c r="N39" s="37"/>
    </x:row>
    <x:row r="40" ht="25" customHeight="1">
      <x:c r="A40" s="2" t="str">
        <x:v>上行</x:v>
      </x:c>
      <x:c r="B40" s="2"/>
      <x:c r="C40" s="10"/>
      <x:c r="D40" s="14" t="n">
        <x:v>0.15</x:v>
      </x:c>
      <x:c r="E40" s="14" t="n">
        <x:v>0.15</x:v>
      </x:c>
      <x:c r="F40" s="14" t="n">
        <x:v>0.15</x:v>
      </x:c>
      <x:c r="G40" s="14" t="n">
        <x:v>0.15</x:v>
      </x:c>
      <x:c r="H40" s="14" t="n">
        <x:v>0.15</x:v>
      </x:c>
      <x:c r="I40" s="2"/>
      <x:c r="J40" s="37"/>
      <x:c r="K40" s="37"/>
      <x:c r="L40" s="37"/>
      <x:c r="M40" s="37"/>
      <x:c r="N40" s="37"/>
    </x:row>
    <x:row r="41" ht="25" customHeight="1">
      <x:c r="A41" s="2"/>
      <x:c r="B41" s="2"/>
      <x:c r="C41" s="10"/>
      <x:c r="D41" s="10"/>
      <x:c r="E41" s="10"/>
      <x:c r="F41" s="10"/>
      <x:c r="G41" s="10"/>
      <x:c r="H41" s="10"/>
      <x:c r="I41" s="2"/>
      <x:c r="J41" s="37"/>
      <x:c r="K41" s="37"/>
      <x:c r="L41" s="37"/>
      <x:c r="M41" s="37"/>
      <x:c r="N41" s="37"/>
    </x:row>
    <x:row r="42" ht="25" customHeight="1">
      <x:c r="A42" s="6" t="str">
        <x:v>IOL 每年新增固定费用 | Active</x:v>
      </x:c>
      <x:c r="B42" s="6"/>
      <x:c r="C42" s="24"/>
      <x:c r="D42" s="25" t="n">
        <x:f>CHOOSE(Summary!$B$3,D43,D44,D45)</x:f>
        <x:v>6</x:v>
      </x:c>
      <x:c r="E42" s="25" t="n">
        <x:f>CHOOSE(Summary!$B$3,E43,E44,E45)</x:f>
        <x:v>6</x:v>
      </x:c>
      <x:c r="F42" s="25" t="n">
        <x:f>CHOOSE(Summary!$B$3,F43,F44,F45)</x:f>
        <x:v>6</x:v>
      </x:c>
      <x:c r="G42" s="25" t="n">
        <x:f>CHOOSE(Summary!$B$3,G43,G44,G45)</x:f>
        <x:v>6</x:v>
      </x:c>
      <x:c r="H42" s="25" t="n">
        <x:f>CHOOSE(Summary!$B$3,H43,H44,H45)</x:f>
        <x:v>6</x:v>
      </x:c>
      <x:c r="I42" s="2"/>
      <x:c r="J42" s="37" t="str">
        <x:v>百万元；累计计入</x:v>
      </x:c>
      <x:c r="K42" s="37"/>
      <x:c r="L42" s="37"/>
      <x:c r="M42" s="37"/>
      <x:c r="N42" s="37"/>
    </x:row>
    <x:row r="43" ht="25" customHeight="1">
      <x:c r="A43" s="2" t="str">
        <x:v>下行</x:v>
      </x:c>
      <x:c r="B43" s="2"/>
      <x:c r="C43" s="10"/>
      <x:c r="D43" s="23" t="n">
        <x:v>10</x:v>
      </x:c>
      <x:c r="E43" s="23" t="n">
        <x:v>10</x:v>
      </x:c>
      <x:c r="F43" s="23" t="n">
        <x:v>10</x:v>
      </x:c>
      <x:c r="G43" s="23" t="n">
        <x:v>10</x:v>
      </x:c>
      <x:c r="H43" s="23" t="n">
        <x:v>10</x:v>
      </x:c>
      <x:c r="I43" s="2"/>
      <x:c r="J43" s="37"/>
      <x:c r="K43" s="37"/>
      <x:c r="L43" s="37"/>
      <x:c r="M43" s="37"/>
      <x:c r="N43" s="37"/>
    </x:row>
    <x:row r="44" ht="25" customHeight="1">
      <x:c r="A44" s="2" t="str">
        <x:v>基准</x:v>
      </x:c>
      <x:c r="B44" s="2"/>
      <x:c r="C44" s="10"/>
      <x:c r="D44" s="23" t="n">
        <x:v>6</x:v>
      </x:c>
      <x:c r="E44" s="23" t="n">
        <x:v>6</x:v>
      </x:c>
      <x:c r="F44" s="23" t="n">
        <x:v>6</x:v>
      </x:c>
      <x:c r="G44" s="23" t="n">
        <x:v>6</x:v>
      </x:c>
      <x:c r="H44" s="23" t="n">
        <x:v>6</x:v>
      </x:c>
      <x:c r="I44" s="2"/>
      <x:c r="J44" s="37"/>
      <x:c r="K44" s="37"/>
      <x:c r="L44" s="37"/>
      <x:c r="M44" s="37"/>
      <x:c r="N44" s="37"/>
    </x:row>
    <x:row r="45" ht="25" customHeight="1">
      <x:c r="A45" s="2" t="str">
        <x:v>上行</x:v>
      </x:c>
      <x:c r="B45" s="2"/>
      <x:c r="C45" s="10"/>
      <x:c r="D45" s="23" t="n">
        <x:v>4</x:v>
      </x:c>
      <x:c r="E45" s="23" t="n">
        <x:v>4</x:v>
      </x:c>
      <x:c r="F45" s="23" t="n">
        <x:v>4</x:v>
      </x:c>
      <x:c r="G45" s="23" t="n">
        <x:v>4</x:v>
      </x:c>
      <x:c r="H45" s="23" t="n">
        <x:v>4</x:v>
      </x:c>
      <x:c r="I45" s="2"/>
      <x:c r="J45" s="37"/>
      <x:c r="K45" s="37"/>
      <x:c r="L45" s="37"/>
      <x:c r="M45" s="37"/>
      <x:c r="N45" s="37"/>
    </x:row>
    <x:row r="46" ht="25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37"/>
      <x:c r="K46" s="37"/>
      <x:c r="L46" s="37"/>
      <x:c r="M46" s="37"/>
      <x:c r="N46" s="37"/>
    </x:row>
    <x:row r="47" ht="25" customHeight="1">
      <x:c r="A47" s="6" t="str">
        <x:v>爱博 既有非IOL收入增速 | Active</x:v>
      </x:c>
      <x:c r="B47" s="6"/>
      <x:c r="C47" s="24"/>
      <x:c r="D47" s="26" t="n">
        <x:f>CHOOSE(Summary!$B$3,D48,D49,D50)</x:f>
        <x:v>0.08</x:v>
      </x:c>
      <x:c r="E47" s="26" t="n">
        <x:f>CHOOSE(Summary!$B$3,E48,E49,E50)</x:f>
        <x:v>0.08</x:v>
      </x:c>
      <x:c r="F47" s="26" t="n">
        <x:f>CHOOSE(Summary!$B$3,F48,F49,F50)</x:f>
        <x:v>0.08</x:v>
      </x:c>
      <x:c r="G47" s="26" t="n">
        <x:f>CHOOSE(Summary!$B$3,G48,G49,G50)</x:f>
        <x:v>0.08</x:v>
      </x:c>
      <x:c r="H47" s="26" t="n">
        <x:f>CHOOSE(Summary!$B$3,H48,H49,H50)</x:f>
        <x:v>0.08</x:v>
      </x:c>
      <x:c r="I47" s="2"/>
      <x:c r="J47" s="37"/>
      <x:c r="K47" s="37"/>
      <x:c r="L47" s="37"/>
      <x:c r="M47" s="37"/>
      <x:c r="N47" s="37"/>
    </x:row>
    <x:row r="48" ht="25" customHeight="1">
      <x:c r="A48" s="2" t="str">
        <x:v>下行</x:v>
      </x:c>
      <x:c r="B48" s="2"/>
      <x:c r="C48" s="10"/>
      <x:c r="D48" s="14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2"/>
      <x:c r="J48" s="37"/>
      <x:c r="K48" s="37"/>
      <x:c r="L48" s="37"/>
      <x:c r="M48" s="37"/>
      <x:c r="N48" s="37"/>
    </x:row>
    <x:row r="49" ht="25" customHeight="1">
      <x:c r="A49" s="2" t="str">
        <x:v>基准</x:v>
      </x:c>
      <x:c r="B49" s="2"/>
      <x:c r="C49" s="10"/>
      <x:c r="D49" s="14" t="n">
        <x:v>0.08</x:v>
      </x:c>
      <x:c r="E49" s="14" t="n">
        <x:v>0.08</x:v>
      </x:c>
      <x:c r="F49" s="14" t="n">
        <x:v>0.08</x:v>
      </x:c>
      <x:c r="G49" s="14" t="n">
        <x:v>0.08</x:v>
      </x:c>
      <x:c r="H49" s="14" t="n">
        <x:v>0.08</x:v>
      </x:c>
      <x:c r="I49" s="2"/>
      <x:c r="J49" s="37"/>
      <x:c r="K49" s="37"/>
      <x:c r="L49" s="37"/>
      <x:c r="M49" s="37"/>
      <x:c r="N49" s="37"/>
    </x:row>
    <x:row r="50" ht="25" customHeight="1">
      <x:c r="A50" s="2" t="str">
        <x:v>上行</x:v>
      </x:c>
      <x:c r="B50" s="2"/>
      <x:c r="C50" s="10"/>
      <x:c r="D50" s="14" t="n">
        <x:v>0.15</x:v>
      </x:c>
      <x:c r="E50" s="14" t="n">
        <x:v>0.15</x:v>
      </x:c>
      <x:c r="F50" s="14" t="n">
        <x:v>0.15</x:v>
      </x:c>
      <x:c r="G50" s="14" t="n">
        <x:v>0.15</x:v>
      </x:c>
      <x:c r="H50" s="14" t="n">
        <x:v>0.15</x:v>
      </x:c>
      <x:c r="I50" s="2"/>
      <x:c r="J50" s="37"/>
      <x:c r="K50" s="37"/>
      <x:c r="L50" s="37"/>
      <x:c r="M50" s="37"/>
      <x:c r="N50" s="37"/>
    </x:row>
    <x:row r="51" ht="25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37"/>
      <x:c r="K51" s="37"/>
      <x:c r="L51" s="37"/>
      <x:c r="M51" s="37"/>
      <x:c r="N51" s="37"/>
    </x:row>
    <x:row r="52" ht="25" customHeight="1">
      <x:c r="A52" s="6" t="str">
        <x:v>爱博 既有非IOL增量净利率 | Active</x:v>
      </x:c>
      <x:c r="B52" s="6"/>
      <x:c r="C52" s="24"/>
      <x:c r="D52" s="26" t="n">
        <x:f>CHOOSE(Summary!$B$3,D53,D54,D55)</x:f>
        <x:v>0.15</x:v>
      </x:c>
      <x:c r="E52" s="26" t="n">
        <x:f>CHOOSE(Summary!$B$3,E53,E54,E55)</x:f>
        <x:v>0.15</x:v>
      </x:c>
      <x:c r="F52" s="26" t="n">
        <x:f>CHOOSE(Summary!$B$3,F53,F54,F55)</x:f>
        <x:v>0.15</x:v>
      </x:c>
      <x:c r="G52" s="26" t="n">
        <x:f>CHOOSE(Summary!$B$3,G53,G54,G55)</x:f>
        <x:v>0.15</x:v>
      </x:c>
      <x:c r="H52" s="26" t="n">
        <x:f>CHOOSE(Summary!$B$3,H53,H54,H55)</x:f>
        <x:v>0.15</x:v>
      </x:c>
      <x:c r="I52" s="2"/>
      <x:c r="J52" s="37"/>
      <x:c r="K52" s="37"/>
      <x:c r="L52" s="37"/>
      <x:c r="M52" s="37"/>
      <x:c r="N52" s="37"/>
    </x:row>
    <x:row r="53" ht="25" customHeight="1">
      <x:c r="A53" s="2" t="str">
        <x:v>下行</x:v>
      </x:c>
      <x:c r="B53" s="2"/>
      <x:c r="C53" s="10"/>
      <x:c r="D53" s="14" t="n">
        <x:v>0.05</x:v>
      </x:c>
      <x:c r="E53" s="14" t="n">
        <x:v>0.05</x:v>
      </x:c>
      <x:c r="F53" s="14" t="n">
        <x:v>0.05</x:v>
      </x:c>
      <x:c r="G53" s="14" t="n">
        <x:v>0.05</x:v>
      </x:c>
      <x:c r="H53" s="14" t="n">
        <x:v>0.05</x:v>
      </x:c>
      <x:c r="I53" s="2"/>
      <x:c r="J53" s="37"/>
      <x:c r="K53" s="37"/>
      <x:c r="L53" s="37"/>
      <x:c r="M53" s="37"/>
      <x:c r="N53" s="37"/>
    </x:row>
    <x:row r="54" ht="25" customHeight="1">
      <x:c r="A54" s="2" t="str">
        <x:v>基准</x:v>
      </x:c>
      <x:c r="B54" s="2"/>
      <x:c r="C54" s="10"/>
      <x:c r="D54" s="14" t="n">
        <x:v>0.15</x:v>
      </x:c>
      <x:c r="E54" s="14" t="n">
        <x:v>0.15</x:v>
      </x:c>
      <x:c r="F54" s="14" t="n">
        <x:v>0.15</x:v>
      </x:c>
      <x:c r="G54" s="14" t="n">
        <x:v>0.15</x:v>
      </x:c>
      <x:c r="H54" s="14" t="n">
        <x:v>0.15</x:v>
      </x:c>
      <x:c r="I54" s="2"/>
      <x:c r="J54" s="37"/>
      <x:c r="K54" s="37"/>
      <x:c r="L54" s="37"/>
      <x:c r="M54" s="37"/>
      <x:c r="N54" s="37"/>
    </x:row>
    <x:row r="55" ht="25" customHeight="1">
      <x:c r="A55" s="2" t="str">
        <x:v>上行</x:v>
      </x:c>
      <x:c r="B55" s="2"/>
      <x:c r="C55" s="10"/>
      <x:c r="D55" s="14" t="n">
        <x:v>0.2</x:v>
      </x:c>
      <x:c r="E55" s="14" t="n">
        <x:v>0.2</x:v>
      </x:c>
      <x:c r="F55" s="14" t="n">
        <x:v>0.2</x:v>
      </x:c>
      <x:c r="G55" s="14" t="n">
        <x:v>0.2</x:v>
      </x:c>
      <x:c r="H55" s="14" t="n">
        <x:v>0.2</x:v>
      </x:c>
      <x:c r="I55" s="2"/>
      <x:c r="J55" s="37"/>
      <x:c r="K55" s="37"/>
      <x:c r="L55" s="37"/>
      <x:c r="M55" s="37"/>
      <x:c r="N55" s="37"/>
    </x:row>
    <x:row r="56" ht="25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37"/>
      <x:c r="K56" s="37"/>
      <x:c r="L56" s="37"/>
      <x:c r="M56" s="37"/>
      <x:c r="N56" s="37"/>
    </x:row>
    <x:row r="57" ht="25" customHeight="1">
      <x:c r="A57" s="6" t="str">
        <x:v>德美 全年收入 | Active</x:v>
      </x:c>
      <x:c r="B57" s="6"/>
      <x:c r="C57" s="24"/>
      <x:c r="D57" s="25" t="n">
        <x:f>CHOOSE(Summary!$B$3,D58,D59,D60)</x:f>
        <x:v>330</x:v>
      </x:c>
      <x:c r="E57" s="25" t="n">
        <x:f>CHOOSE(Summary!$B$3,E58,E59,E60)</x:f>
        <x:v>363</x:v>
      </x:c>
      <x:c r="F57" s="25" t="n">
        <x:f>CHOOSE(Summary!$B$3,F58,F59,F60)</x:f>
        <x:v>399.3</x:v>
      </x:c>
      <x:c r="G57" s="25" t="n">
        <x:f>CHOOSE(Summary!$B$3,G58,G59,G60)</x:f>
        <x:v>439.23</x:v>
      </x:c>
      <x:c r="H57" s="25" t="n">
        <x:f>CHOOSE(Summary!$B$3,H58,H59,H60)</x:f>
        <x:v>483.15</x:v>
      </x:c>
      <x:c r="I57" s="2"/>
      <x:c r="J57" s="37" t="str">
        <x:v>2026乘0.77并表期间；非承诺收入</x:v>
      </x:c>
      <x:c r="K57" s="37"/>
      <x:c r="L57" s="37"/>
      <x:c r="M57" s="37"/>
      <x:c r="N57" s="37"/>
    </x:row>
    <x:row r="58" ht="25" customHeight="1">
      <x:c r="A58" s="2" t="str">
        <x:v>下行</x:v>
      </x:c>
      <x:c r="B58" s="2"/>
      <x:c r="C58" s="10"/>
      <x:c r="D58" s="23" t="n">
        <x:v>300</x:v>
      </x:c>
      <x:c r="E58" s="23" t="n">
        <x:v>315</x:v>
      </x:c>
      <x:c r="F58" s="23" t="n">
        <x:v>330.75</x:v>
      </x:c>
      <x:c r="G58" s="23" t="n">
        <x:v>347.29</x:v>
      </x:c>
      <x:c r="H58" s="23" t="n">
        <x:v>364.65</x:v>
      </x:c>
      <x:c r="I58" s="2"/>
      <x:c r="J58" s="37"/>
      <x:c r="K58" s="37"/>
      <x:c r="L58" s="37"/>
      <x:c r="M58" s="37"/>
      <x:c r="N58" s="37"/>
    </x:row>
    <x:row r="59" ht="25" customHeight="1">
      <x:c r="A59" s="2" t="str">
        <x:v>基准</x:v>
      </x:c>
      <x:c r="B59" s="2"/>
      <x:c r="C59" s="10"/>
      <x:c r="D59" s="23" t="n">
        <x:v>330</x:v>
      </x:c>
      <x:c r="E59" s="23" t="n">
        <x:v>363</x:v>
      </x:c>
      <x:c r="F59" s="23" t="n">
        <x:v>399.3</x:v>
      </x:c>
      <x:c r="G59" s="23" t="n">
        <x:v>439.23</x:v>
      </x:c>
      <x:c r="H59" s="23" t="n">
        <x:v>483.15</x:v>
      </x:c>
      <x:c r="I59" s="2"/>
      <x:c r="J59" s="37"/>
      <x:c r="K59" s="37"/>
      <x:c r="L59" s="37"/>
      <x:c r="M59" s="37"/>
      <x:c r="N59" s="37"/>
    </x:row>
    <x:row r="60" ht="25" customHeight="1">
      <x:c r="A60" s="2" t="str">
        <x:v>上行</x:v>
      </x:c>
      <x:c r="B60" s="2"/>
      <x:c r="C60" s="10"/>
      <x:c r="D60" s="23" t="n">
        <x:v>350</x:v>
      </x:c>
      <x:c r="E60" s="23" t="n">
        <x:v>402.5</x:v>
      </x:c>
      <x:c r="F60" s="23" t="n">
        <x:v>462.88</x:v>
      </x:c>
      <x:c r="G60" s="23" t="n">
        <x:v>532.31</x:v>
      </x:c>
      <x:c r="H60" s="23" t="n">
        <x:v>612.16</x:v>
      </x:c>
      <x:c r="I60" s="2"/>
      <x:c r="J60" s="37"/>
      <x:c r="K60" s="37"/>
      <x:c r="L60" s="37"/>
      <x:c r="M60" s="37"/>
      <x:c r="N60" s="37"/>
    </x:row>
    <x:row r="61" ht="25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37"/>
      <x:c r="K61" s="37"/>
      <x:c r="L61" s="37"/>
      <x:c r="M61" s="37"/>
      <x:c r="N61" s="37"/>
    </x:row>
    <x:row r="62" ht="25" customHeight="1">
      <x:c r="A62" s="6" t="str">
        <x:v>德美 全年目标利润 | Active</x:v>
      </x:c>
      <x:c r="B62" s="6"/>
      <x:c r="C62" s="24"/>
      <x:c r="D62" s="25" t="n">
        <x:f>CHOOSE(Summary!$B$3,D63,D64,D65)</x:f>
        <x:v>45</x:v>
      </x:c>
      <x:c r="E62" s="25" t="n">
        <x:f>CHOOSE(Summary!$B$3,E63,E64,E65)</x:f>
        <x:v>55</x:v>
      </x:c>
      <x:c r="F62" s="25" t="n">
        <x:f>CHOOSE(Summary!$B$3,F63,F64,F65)</x:f>
        <x:v>65</x:v>
      </x:c>
      <x:c r="G62" s="25" t="n">
        <x:f>CHOOSE(Summary!$B$3,G63,G64,G65)</x:f>
        <x:v>71.5</x:v>
      </x:c>
      <x:c r="H62" s="25" t="n">
        <x:f>CHOOSE(Summary!$B$3,H63,H64,H65)</x:f>
        <x:v>78.65</x:v>
      </x:c>
      <x:c r="I62" s="2"/>
      <x:c r="J62" s="37" t="str">
        <x:v>2026–28为合同目标，后续为假设，非预测</x:v>
      </x:c>
      <x:c r="K62" s="37"/>
      <x:c r="L62" s="37"/>
      <x:c r="M62" s="37"/>
      <x:c r="N62" s="37"/>
    </x:row>
    <x:row r="63" ht="25" customHeight="1">
      <x:c r="A63" s="2" t="str">
        <x:v>下行</x:v>
      </x:c>
      <x:c r="B63" s="2"/>
      <x:c r="C63" s="10"/>
      <x:c r="D63" s="23" t="n">
        <x:v>45</x:v>
      </x:c>
      <x:c r="E63" s="23" t="n">
        <x:v>55</x:v>
      </x:c>
      <x:c r="F63" s="23" t="n">
        <x:v>65</x:v>
      </x:c>
      <x:c r="G63" s="23" t="n">
        <x:v>65</x:v>
      </x:c>
      <x:c r="H63" s="23" t="n">
        <x:v>65</x:v>
      </x:c>
      <x:c r="I63" s="2"/>
      <x:c r="J63" s="37"/>
      <x:c r="K63" s="37"/>
      <x:c r="L63" s="37"/>
      <x:c r="M63" s="37"/>
      <x:c r="N63" s="37"/>
    </x:row>
    <x:row r="64" ht="25" customHeight="1">
      <x:c r="A64" s="2" t="str">
        <x:v>基准</x:v>
      </x:c>
      <x:c r="B64" s="2"/>
      <x:c r="C64" s="10"/>
      <x:c r="D64" s="23" t="n">
        <x:v>45</x:v>
      </x:c>
      <x:c r="E64" s="23" t="n">
        <x:v>55</x:v>
      </x:c>
      <x:c r="F64" s="23" t="n">
        <x:v>65</x:v>
      </x:c>
      <x:c r="G64" s="23" t="n">
        <x:v>71.5</x:v>
      </x:c>
      <x:c r="H64" s="23" t="n">
        <x:v>78.65</x:v>
      </x:c>
      <x:c r="I64" s="2"/>
      <x:c r="J64" s="37"/>
      <x:c r="K64" s="37"/>
      <x:c r="L64" s="37"/>
      <x:c r="M64" s="37"/>
      <x:c r="N64" s="37"/>
    </x:row>
    <x:row r="65" ht="25" customHeight="1">
      <x:c r="A65" s="2" t="str">
        <x:v>上行</x:v>
      </x:c>
      <x:c r="B65" s="2"/>
      <x:c r="C65" s="10"/>
      <x:c r="D65" s="23" t="n">
        <x:v>45</x:v>
      </x:c>
      <x:c r="E65" s="23" t="n">
        <x:v>55</x:v>
      </x:c>
      <x:c r="F65" s="23" t="n">
        <x:v>65</x:v>
      </x:c>
      <x:c r="G65" s="23" t="n">
        <x:v>78</x:v>
      </x:c>
      <x:c r="H65" s="23" t="n">
        <x:v>93.6</x:v>
      </x:c>
      <x:c r="I65" s="2"/>
      <x:c r="J65" s="37"/>
      <x:c r="K65" s="37"/>
      <x:c r="L65" s="37"/>
      <x:c r="M65" s="37"/>
      <x:c r="N65" s="37"/>
    </x:row>
    <x:row r="66" ht="25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37"/>
      <x:c r="K66" s="37"/>
      <x:c r="L66" s="37"/>
      <x:c r="M66" s="37"/>
      <x:c r="N66" s="37"/>
    </x:row>
    <x:row r="67" ht="25" customHeight="1">
      <x:c r="A67" s="6" t="str">
        <x:v>德美 利润目标实现率 | Active</x:v>
      </x:c>
      <x:c r="B67" s="6"/>
      <x:c r="C67" s="24"/>
      <x:c r="D67" s="26" t="n">
        <x:f>CHOOSE(Summary!$B$3,D68,D69,D70)</x:f>
        <x:v>0.85</x:v>
      </x:c>
      <x:c r="E67" s="26" t="n">
        <x:f>CHOOSE(Summary!$B$3,E68,E69,E70)</x:f>
        <x:v>0.85</x:v>
      </x:c>
      <x:c r="F67" s="26" t="n">
        <x:f>CHOOSE(Summary!$B$3,F68,F69,F70)</x:f>
        <x:v>0.85</x:v>
      </x:c>
      <x:c r="G67" s="26" t="n">
        <x:f>CHOOSE(Summary!$B$3,G68,G69,G70)</x:f>
        <x:v>0.85</x:v>
      </x:c>
      <x:c r="H67" s="26" t="n">
        <x:f>CHOOSE(Summary!$B$3,H68,H69,H70)</x:f>
        <x:v>0.85</x:v>
      </x:c>
      <x:c r="I67" s="2"/>
      <x:c r="J67" s="37"/>
      <x:c r="K67" s="37"/>
      <x:c r="L67" s="37"/>
      <x:c r="M67" s="37"/>
      <x:c r="N67" s="37"/>
    </x:row>
    <x:row r="68" ht="25" customHeight="1">
      <x:c r="A68" s="2" t="str">
        <x:v>下行</x:v>
      </x:c>
      <x:c r="B68" s="2"/>
      <x:c r="C68" s="10"/>
      <x:c r="D68" s="14" t="n">
        <x:v>0.6</x:v>
      </x:c>
      <x:c r="E68" s="14" t="n">
        <x:v>0.6</x:v>
      </x:c>
      <x:c r="F68" s="14" t="n">
        <x:v>0.6</x:v>
      </x:c>
      <x:c r="G68" s="14" t="n">
        <x:v>0.6</x:v>
      </x:c>
      <x:c r="H68" s="14" t="n">
        <x:v>0.6</x:v>
      </x:c>
      <x:c r="I68" s="2"/>
      <x:c r="J68" s="37"/>
      <x:c r="K68" s="37"/>
      <x:c r="L68" s="37"/>
      <x:c r="M68" s="37"/>
      <x:c r="N68" s="37"/>
    </x:row>
    <x:row r="69" ht="25" customHeight="1">
      <x:c r="A69" s="2" t="str">
        <x:v>基准</x:v>
      </x:c>
      <x:c r="B69" s="2"/>
      <x:c r="C69" s="10"/>
      <x:c r="D69" s="14" t="n">
        <x:v>0.85</x:v>
      </x:c>
      <x:c r="E69" s="14" t="n">
        <x:v>0.85</x:v>
      </x:c>
      <x:c r="F69" s="14" t="n">
        <x:v>0.85</x:v>
      </x:c>
      <x:c r="G69" s="14" t="n">
        <x:v>0.85</x:v>
      </x:c>
      <x:c r="H69" s="14" t="n">
        <x:v>0.85</x:v>
      </x:c>
      <x:c r="I69" s="2"/>
      <x:c r="J69" s="37"/>
      <x:c r="K69" s="37"/>
      <x:c r="L69" s="37"/>
      <x:c r="M69" s="37"/>
      <x:c r="N69" s="37"/>
    </x:row>
    <x:row r="70" ht="25" customHeight="1">
      <x:c r="A70" s="2" t="str">
        <x:v>上行</x:v>
      </x:c>
      <x:c r="B70" s="2"/>
      <x:c r="C70" s="10"/>
      <x:c r="D70" s="14" t="n">
        <x:v>1.1</x:v>
      </x:c>
      <x:c r="E70" s="14" t="n">
        <x:v>1.1</x:v>
      </x:c>
      <x:c r="F70" s="14" t="n">
        <x:v>1.1</x:v>
      </x:c>
      <x:c r="G70" s="14" t="n">
        <x:v>1.1</x:v>
      </x:c>
      <x:c r="H70" s="14" t="n">
        <x:v>1.1</x:v>
      </x:c>
      <x:c r="I70" s="2"/>
      <x:c r="J70" s="37"/>
      <x:c r="K70" s="37"/>
      <x:c r="L70" s="37"/>
      <x:c r="M70" s="37"/>
      <x:c r="N70" s="37"/>
    </x:row>
    <x:row r="71" ht="25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37"/>
      <x:c r="K71" s="37"/>
      <x:c r="L71" s="37"/>
      <x:c r="M71" s="37"/>
      <x:c r="N71" s="37"/>
    </x:row>
    <x:row r="72" ht="25" customHeight="1">
      <x:c r="A72" s="6" t="str">
        <x:v>德美 并购贷款利率 | Active</x:v>
      </x:c>
      <x:c r="B72" s="6"/>
      <x:c r="C72" s="24"/>
      <x:c r="D72" s="26" t="n">
        <x:f>CHOOSE(Summary!$B$3,D73,D74,D75)</x:f>
        <x:v>0.03</x:v>
      </x:c>
      <x:c r="E72" s="26" t="n">
        <x:f>CHOOSE(Summary!$B$3,E73,E74,E75)</x:f>
        <x:v>0.03</x:v>
      </x:c>
      <x:c r="F72" s="26" t="n">
        <x:f>CHOOSE(Summary!$B$3,F73,F74,F75)</x:f>
        <x:v>0.03</x:v>
      </x:c>
      <x:c r="G72" s="26" t="n">
        <x:f>CHOOSE(Summary!$B$3,G73,G74,G75)</x:f>
        <x:v>0.03</x:v>
      </x:c>
      <x:c r="H72" s="26" t="n">
        <x:f>CHOOSE(Summary!$B$3,H73,H74,H75)</x:f>
        <x:v>0.03</x:v>
      </x:c>
      <x:c r="I72" s="2"/>
      <x:c r="J72" s="37" t="str">
        <x:v>实际专项利率未披露</x:v>
      </x:c>
      <x:c r="K72" s="37"/>
      <x:c r="L72" s="37"/>
      <x:c r="M72" s="37"/>
      <x:c r="N72" s="37"/>
    </x:row>
    <x:row r="73" ht="25" customHeight="1">
      <x:c r="A73" s="2" t="str">
        <x:v>下行</x:v>
      </x:c>
      <x:c r="B73" s="2"/>
      <x:c r="C73" s="10"/>
      <x:c r="D73" s="14" t="n">
        <x:v>0.04</x:v>
      </x:c>
      <x:c r="E73" s="14" t="n">
        <x:v>0.04</x:v>
      </x:c>
      <x:c r="F73" s="14" t="n">
        <x:v>0.04</x:v>
      </x:c>
      <x:c r="G73" s="14" t="n">
        <x:v>0.04</x:v>
      </x:c>
      <x:c r="H73" s="14" t="n">
        <x:v>0.04</x:v>
      </x:c>
      <x:c r="I73" s="2"/>
      <x:c r="J73" s="37"/>
      <x:c r="K73" s="37"/>
      <x:c r="L73" s="37"/>
      <x:c r="M73" s="37"/>
      <x:c r="N73" s="37"/>
    </x:row>
    <x:row r="74" ht="25" customHeight="1">
      <x:c r="A74" s="2" t="str">
        <x:v>基准</x:v>
      </x:c>
      <x:c r="B74" s="2"/>
      <x:c r="C74" s="10"/>
      <x:c r="D74" s="14" t="n">
        <x:v>0.03</x:v>
      </x:c>
      <x:c r="E74" s="14" t="n">
        <x:v>0.03</x:v>
      </x:c>
      <x:c r="F74" s="14" t="n">
        <x:v>0.03</x:v>
      </x:c>
      <x:c r="G74" s="14" t="n">
        <x:v>0.03</x:v>
      </x:c>
      <x:c r="H74" s="14" t="n">
        <x:v>0.03</x:v>
      </x:c>
      <x:c r="I74" s="2"/>
      <x:c r="J74" s="37"/>
      <x:c r="K74" s="37"/>
      <x:c r="L74" s="37"/>
      <x:c r="M74" s="37"/>
      <x:c r="N74" s="37"/>
    </x:row>
    <x:row r="75" ht="25" customHeight="1">
      <x:c r="A75" s="2" t="str">
        <x:v>上行</x:v>
      </x:c>
      <x:c r="B75" s="2"/>
      <x:c r="C75" s="10"/>
      <x:c r="D75" s="14" t="n">
        <x:v>0.025</x:v>
      </x:c>
      <x:c r="E75" s="14" t="n">
        <x:v>0.025</x:v>
      </x:c>
      <x:c r="F75" s="14" t="n">
        <x:v>0.025</x:v>
      </x:c>
      <x:c r="G75" s="14" t="n">
        <x:v>0.025</x:v>
      </x:c>
      <x:c r="H75" s="14" t="n">
        <x:v>0.025</x:v>
      </x:c>
      <x:c r="I75" s="2"/>
      <x:c r="J75" s="37"/>
      <x:c r="K75" s="37"/>
      <x:c r="L75" s="37"/>
      <x:c r="M75" s="37"/>
      <x:c r="N75" s="37"/>
    </x:row>
    <x:row r="76" ht="25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37"/>
      <x:c r="K76" s="37"/>
      <x:c r="L76" s="37"/>
      <x:c r="M76" s="37"/>
      <x:c r="N76" s="37"/>
    </x:row>
    <x:row r="77" ht="25" customHeight="1">
      <x:c r="A77" s="6" t="str">
        <x:v>德美 年PPA/整合费用 | Active</x:v>
      </x:c>
      <x:c r="B77" s="6"/>
      <x:c r="C77" s="24"/>
      <x:c r="D77" s="25" t="n">
        <x:f>CHOOSE(Summary!$B$3,D78,D79,D80)</x:f>
        <x:v>5</x:v>
      </x:c>
      <x:c r="E77" s="25" t="n">
        <x:f>CHOOSE(Summary!$B$3,E78,E79,E80)</x:f>
        <x:v>5</x:v>
      </x:c>
      <x:c r="F77" s="25" t="n">
        <x:f>CHOOSE(Summary!$B$3,F78,F79,F80)</x:f>
        <x:v>5</x:v>
      </x:c>
      <x:c r="G77" s="25" t="n">
        <x:f>CHOOSE(Summary!$B$3,G78,G79,G80)</x:f>
        <x:v>5</x:v>
      </x:c>
      <x:c r="H77" s="25" t="n">
        <x:f>CHOOSE(Summary!$B$3,H78,H79,H80)</x:f>
        <x:v>5</x:v>
      </x:c>
      <x:c r="I77" s="2"/>
      <x:c r="J77" s="37" t="str">
        <x:v>百万元；可辨认无形资产摊销/整合假设，非商誉摊销</x:v>
      </x:c>
      <x:c r="K77" s="37"/>
      <x:c r="L77" s="37"/>
      <x:c r="M77" s="37"/>
      <x:c r="N77" s="37"/>
    </x:row>
    <x:row r="78" ht="25" customHeight="1">
      <x:c r="A78" s="2" t="str">
        <x:v>下行</x:v>
      </x:c>
      <x:c r="B78" s="2"/>
      <x:c r="C78" s="10"/>
      <x:c r="D78" s="23" t="n">
        <x:v>10</x:v>
      </x:c>
      <x:c r="E78" s="23" t="n">
        <x:v>10</x:v>
      </x:c>
      <x:c r="F78" s="23" t="n">
        <x:v>10</x:v>
      </x:c>
      <x:c r="G78" s="23" t="n">
        <x:v>10</x:v>
      </x:c>
      <x:c r="H78" s="23" t="n">
        <x:v>10</x:v>
      </x:c>
      <x:c r="I78" s="2"/>
      <x:c r="J78" s="37"/>
      <x:c r="K78" s="37"/>
      <x:c r="L78" s="37"/>
      <x:c r="M78" s="37"/>
      <x:c r="N78" s="37"/>
    </x:row>
    <x:row r="79" ht="25" customHeight="1">
      <x:c r="A79" s="2" t="str">
        <x:v>基准</x:v>
      </x:c>
      <x:c r="B79" s="2"/>
      <x:c r="C79" s="10"/>
      <x:c r="D79" s="23" t="n">
        <x:v>5</x:v>
      </x:c>
      <x:c r="E79" s="23" t="n">
        <x:v>5</x:v>
      </x:c>
      <x:c r="F79" s="23" t="n">
        <x:v>5</x:v>
      </x:c>
      <x:c r="G79" s="23" t="n">
        <x:v>5</x:v>
      </x:c>
      <x:c r="H79" s="23" t="n">
        <x:v>5</x:v>
      </x:c>
      <x:c r="I79" s="2"/>
      <x:c r="J79" s="37"/>
      <x:c r="K79" s="37"/>
      <x:c r="L79" s="37"/>
      <x:c r="M79" s="37"/>
      <x:c r="N79" s="37"/>
    </x:row>
    <x:row r="80" ht="25" customHeight="1">
      <x:c r="A80" s="2" t="str">
        <x:v>上行</x:v>
      </x:c>
      <x:c r="B80" s="2"/>
      <x:c r="C80" s="10"/>
      <x:c r="D80" s="23" t="n">
        <x:v>0</x:v>
      </x:c>
      <x:c r="E80" s="23" t="n">
        <x:v>0</x:v>
      </x:c>
      <x:c r="F80" s="23" t="n">
        <x:v>0</x:v>
      </x:c>
      <x:c r="G80" s="23" t="n">
        <x:v>0</x:v>
      </x:c>
      <x:c r="H80" s="23" t="n">
        <x:v>0</x:v>
      </x:c>
      <x:c r="I80" s="2"/>
      <x:c r="J80" s="37"/>
      <x:c r="K80" s="37"/>
      <x:c r="L80" s="37"/>
      <x:c r="M80" s="37"/>
      <x:c r="N80" s="37"/>
    </x:row>
    <x:row r="81" ht="25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37"/>
      <x:c r="K81" s="37"/>
      <x:c r="L81" s="37"/>
      <x:c r="M81" s="37"/>
      <x:c r="N81" s="37"/>
    </x:row>
    <x:row r="82" ht="25" customHeight="1">
      <x:c r="A82" s="6" t="str">
        <x:v>爱尔 白内障眼数指数增速 | Active</x:v>
      </x:c>
      <x:c r="B82" s="6"/>
      <x:c r="C82" s="24"/>
      <x:c r="D82" s="26" t="n">
        <x:f>CHOOSE(Summary!$B$3,D83,D84,D85)</x:f>
        <x:v>0</x:v>
      </x:c>
      <x:c r="E82" s="26" t="n">
        <x:f>CHOOSE(Summary!$B$3,E83,E84,E85)</x:f>
        <x:v>0</x:v>
      </x:c>
      <x:c r="F82" s="26" t="n">
        <x:f>CHOOSE(Summary!$B$3,F83,F84,F85)</x:f>
        <x:v>0</x:v>
      </x:c>
      <x:c r="G82" s="26" t="n">
        <x:f>CHOOSE(Summary!$B$3,G83,G84,G85)</x:f>
        <x:v>0</x:v>
      </x:c>
      <x:c r="H82" s="26" t="n">
        <x:f>CHOOSE(Summary!$B$3,H83,H84,H85)</x:f>
        <x:v>0</x:v>
      </x:c>
      <x:c r="I82" s="2"/>
      <x:c r="J82" s="37" t="str">
        <x:v>实际眼数未披露，以账单参数校准基期</x:v>
      </x:c>
      <x:c r="K82" s="37"/>
      <x:c r="L82" s="37"/>
      <x:c r="M82" s="37"/>
      <x:c r="N82" s="37"/>
    </x:row>
    <x:row r="83" ht="25" customHeight="1">
      <x:c r="A83" s="2" t="str">
        <x:v>下行</x:v>
      </x:c>
      <x:c r="B83" s="2"/>
      <x:c r="C83" s="10"/>
      <x:c r="D83" s="14" t="n">
        <x:v>-0.02</x:v>
      </x:c>
      <x:c r="E83" s="14" t="n">
        <x:v>-0.02</x:v>
      </x:c>
      <x:c r="F83" s="14" t="n">
        <x:v>-0.02</x:v>
      </x:c>
      <x:c r="G83" s="14" t="n">
        <x:v>-0.02</x:v>
      </x:c>
      <x:c r="H83" s="14" t="n">
        <x:v>-0.02</x:v>
      </x:c>
      <x:c r="I83" s="2"/>
      <x:c r="J83" s="37"/>
      <x:c r="K83" s="37"/>
      <x:c r="L83" s="37"/>
      <x:c r="M83" s="37"/>
      <x:c r="N83" s="37"/>
    </x:row>
    <x:row r="84" ht="25" customHeight="1">
      <x:c r="A84" s="2" t="str">
        <x:v>基准</x:v>
      </x:c>
      <x:c r="B84" s="2"/>
      <x:c r="C84" s="10"/>
      <x:c r="D84" s="14" t="n">
        <x:v>0</x:v>
      </x:c>
      <x:c r="E84" s="14" t="n">
        <x:v>0</x:v>
      </x:c>
      <x:c r="F84" s="14" t="n">
        <x:v>0</x:v>
      </x:c>
      <x:c r="G84" s="14" t="n">
        <x:v>0</x:v>
      </x:c>
      <x:c r="H84" s="14" t="n">
        <x:v>0</x:v>
      </x:c>
      <x:c r="I84" s="2"/>
      <x:c r="J84" s="37"/>
      <x:c r="K84" s="37"/>
      <x:c r="L84" s="37"/>
      <x:c r="M84" s="37"/>
      <x:c r="N84" s="37"/>
    </x:row>
    <x:row r="85" ht="25" customHeight="1">
      <x:c r="A85" s="2" t="str">
        <x:v>上行</x:v>
      </x:c>
      <x:c r="B85" s="2"/>
      <x:c r="C85" s="10"/>
      <x:c r="D85" s="14" t="n">
        <x:v>0.05</x:v>
      </x:c>
      <x:c r="E85" s="14" t="n">
        <x:v>0.05</x:v>
      </x:c>
      <x:c r="F85" s="14" t="n">
        <x:v>0.05</x:v>
      </x:c>
      <x:c r="G85" s="14" t="n">
        <x:v>0.05</x:v>
      </x:c>
      <x:c r="H85" s="14" t="n">
        <x:v>0.05</x:v>
      </x:c>
      <x:c r="I85" s="2"/>
      <x:c r="J85" s="37"/>
      <x:c r="K85" s="37"/>
      <x:c r="L85" s="37"/>
      <x:c r="M85" s="37"/>
      <x:c r="N85" s="37"/>
    </x:row>
    <x:row r="86" ht="25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37"/>
      <x:c r="K86" s="37"/>
      <x:c r="L86" s="37"/>
      <x:c r="M86" s="37"/>
      <x:c r="N86" s="37"/>
    </x:row>
    <x:row r="87" ht="25" customHeight="1">
      <x:c r="A87" s="6" t="str">
        <x:v>爱尔 高端眼数占比 | Active</x:v>
      </x:c>
      <x:c r="B87" s="6"/>
      <x:c r="C87" s="24"/>
      <x:c r="D87" s="26" t="n">
        <x:f>CHOOSE(Summary!$B$3,D88,D89,D90)</x:f>
        <x:v>0.18</x:v>
      </x:c>
      <x:c r="E87" s="26" t="n">
        <x:f>CHOOSE(Summary!$B$3,E88,E89,E90)</x:f>
        <x:v>0.21</x:v>
      </x:c>
      <x:c r="F87" s="26" t="n">
        <x:f>CHOOSE(Summary!$B$3,F88,F89,F90)</x:f>
        <x:v>0.24</x:v>
      </x:c>
      <x:c r="G87" s="26" t="n">
        <x:f>CHOOSE(Summary!$B$3,G88,G89,G90)</x:f>
        <x:v>0.27</x:v>
      </x:c>
      <x:c r="H87" s="26" t="n">
        <x:f>CHOOSE(Summary!$B$3,H88,H89,H90)</x:f>
        <x:v>0.3</x:v>
      </x:c>
      <x:c r="I87" s="2"/>
      <x:c r="J87" s="37"/>
      <x:c r="K87" s="37"/>
      <x:c r="L87" s="37"/>
      <x:c r="M87" s="37"/>
      <x:c r="N87" s="37"/>
    </x:row>
    <x:row r="88" ht="25" customHeight="1">
      <x:c r="A88" s="2" t="str">
        <x:v>下行</x:v>
      </x:c>
      <x:c r="B88" s="2"/>
      <x:c r="C88" s="10"/>
      <x:c r="D88" s="14" t="n">
        <x:v>0.16</x:v>
      </x:c>
      <x:c r="E88" s="14" t="n">
        <x:v>0.17</x:v>
      </x:c>
      <x:c r="F88" s="14" t="n">
        <x:v>0.18</x:v>
      </x:c>
      <x:c r="G88" s="14" t="n">
        <x:v>0.19</x:v>
      </x:c>
      <x:c r="H88" s="14" t="n">
        <x:v>0.2</x:v>
      </x:c>
      <x:c r="I88" s="2"/>
      <x:c r="J88" s="37"/>
      <x:c r="K88" s="37"/>
      <x:c r="L88" s="37"/>
      <x:c r="M88" s="37"/>
      <x:c r="N88" s="37"/>
    </x:row>
    <x:row r="89" ht="25" customHeight="1">
      <x:c r="A89" s="2" t="str">
        <x:v>基准</x:v>
      </x:c>
      <x:c r="B89" s="2"/>
      <x:c r="C89" s="10"/>
      <x:c r="D89" s="14" t="n">
        <x:v>0.18</x:v>
      </x:c>
      <x:c r="E89" s="14" t="n">
        <x:v>0.21</x:v>
      </x:c>
      <x:c r="F89" s="14" t="n">
        <x:v>0.24</x:v>
      </x:c>
      <x:c r="G89" s="14" t="n">
        <x:v>0.27</x:v>
      </x:c>
      <x:c r="H89" s="14" t="n">
        <x:v>0.3</x:v>
      </x:c>
      <x:c r="I89" s="2"/>
      <x:c r="J89" s="37"/>
      <x:c r="K89" s="37"/>
      <x:c r="L89" s="37"/>
      <x:c r="M89" s="37"/>
      <x:c r="N89" s="37"/>
    </x:row>
    <x:row r="90" ht="25" customHeight="1">
      <x:c r="A90" s="2" t="str">
        <x:v>上行</x:v>
      </x:c>
      <x:c r="B90" s="2"/>
      <x:c r="C90" s="10"/>
      <x:c r="D90" s="14" t="n">
        <x:v>0.2</x:v>
      </x:c>
      <x:c r="E90" s="14" t="n">
        <x:v>0.25</x:v>
      </x:c>
      <x:c r="F90" s="14" t="n">
        <x:v>0.3</x:v>
      </x:c>
      <x:c r="G90" s="14" t="n">
        <x:v>0.35</x:v>
      </x:c>
      <x:c r="H90" s="14" t="n">
        <x:v>0.4</x:v>
      </x:c>
      <x:c r="I90" s="2"/>
      <x:c r="J90" s="37"/>
      <x:c r="K90" s="37"/>
      <x:c r="L90" s="37"/>
      <x:c r="M90" s="37"/>
      <x:c r="N90" s="37"/>
    </x:row>
    <x:row r="91" ht="25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37"/>
      <x:c r="K91" s="37"/>
      <x:c r="L91" s="37"/>
      <x:c r="M91" s="37"/>
      <x:c r="N91" s="37"/>
    </x:row>
    <x:row r="92" ht="25" customHeight="1">
      <x:c r="A92" s="6" t="str">
        <x:v>爱尔 基础单眼总收入同比 | Active</x:v>
      </x:c>
      <x:c r="B92" s="6"/>
      <x:c r="C92" s="24"/>
      <x:c r="D92" s="26" t="n">
        <x:f>CHOOSE(Summary!$B$3,D93,D94,D95)</x:f>
        <x:v>-0.03</x:v>
      </x:c>
      <x:c r="E92" s="26" t="n">
        <x:f>CHOOSE(Summary!$B$3,E93,E94,E95)</x:f>
        <x:v>-0.01</x:v>
      </x:c>
      <x:c r="F92" s="26" t="n">
        <x:f>CHOOSE(Summary!$B$3,F93,F94,F95)</x:f>
        <x:v>0</x:v>
      </x:c>
      <x:c r="G92" s="26" t="n">
        <x:f>CHOOSE(Summary!$B$3,G93,G94,G95)</x:f>
        <x:v>0</x:v>
      </x:c>
      <x:c r="H92" s="26" t="n">
        <x:f>CHOOSE(Summary!$B$3,H93,H94,H95)</x:f>
        <x:v>0</x:v>
      </x:c>
      <x:c r="I92" s="2"/>
      <x:c r="J92" s="37" t="str">
        <x:v>医院确认收入，不等于患者现金自费</x:v>
      </x:c>
      <x:c r="K92" s="37"/>
      <x:c r="L92" s="37"/>
      <x:c r="M92" s="37"/>
      <x:c r="N92" s="37"/>
    </x:row>
    <x:row r="93" ht="25" customHeight="1">
      <x:c r="A93" s="2" t="str">
        <x:v>下行</x:v>
      </x:c>
      <x:c r="B93" s="2"/>
      <x:c r="C93" s="10"/>
      <x:c r="D93" s="14" t="n">
        <x:v>-0.05</x:v>
      </x:c>
      <x:c r="E93" s="14" t="n">
        <x:v>-0.03</x:v>
      </x:c>
      <x:c r="F93" s="14" t="n">
        <x:v>-0.02</x:v>
      </x:c>
      <x:c r="G93" s="14" t="n">
        <x:v>-0.02</x:v>
      </x:c>
      <x:c r="H93" s="14" t="n">
        <x:v>-0.02</x:v>
      </x:c>
      <x:c r="I93" s="2"/>
      <x:c r="J93" s="37"/>
      <x:c r="K93" s="37"/>
      <x:c r="L93" s="37"/>
      <x:c r="M93" s="37"/>
      <x:c r="N93" s="37"/>
    </x:row>
    <x:row r="94" ht="25" customHeight="1">
      <x:c r="A94" s="2" t="str">
        <x:v>基准</x:v>
      </x:c>
      <x:c r="B94" s="2"/>
      <x:c r="C94" s="10"/>
      <x:c r="D94" s="14" t="n">
        <x:v>-0.03</x:v>
      </x:c>
      <x:c r="E94" s="14" t="n">
        <x:v>-0.01</x:v>
      </x:c>
      <x:c r="F94" s="14" t="n">
        <x:v>0</x:v>
      </x:c>
      <x:c r="G94" s="14" t="n">
        <x:v>0</x:v>
      </x:c>
      <x:c r="H94" s="14" t="n">
        <x:v>0</x:v>
      </x:c>
      <x:c r="I94" s="2"/>
      <x:c r="J94" s="37"/>
      <x:c r="K94" s="37"/>
      <x:c r="L94" s="37"/>
      <x:c r="M94" s="37"/>
      <x:c r="N94" s="37"/>
    </x:row>
    <x:row r="95" ht="25" customHeight="1">
      <x:c r="A95" s="2" t="str">
        <x:v>上行</x:v>
      </x:c>
      <x:c r="B95" s="2"/>
      <x:c r="C95" s="10"/>
      <x:c r="D95" s="14" t="n">
        <x:v>0</x:v>
      </x:c>
      <x:c r="E95" s="14" t="n">
        <x:v>0</x:v>
      </x:c>
      <x:c r="F95" s="14" t="n">
        <x:v>0</x:v>
      </x:c>
      <x:c r="G95" s="14" t="n">
        <x:v>0</x:v>
      </x:c>
      <x:c r="H95" s="14" t="n">
        <x:v>0</x:v>
      </x:c>
      <x:c r="I95" s="2"/>
      <x:c r="J95" s="37"/>
      <x:c r="K95" s="37"/>
      <x:c r="L95" s="37"/>
      <x:c r="M95" s="37"/>
      <x:c r="N95" s="37"/>
    </x:row>
    <x:row r="96" ht="25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37"/>
      <x:c r="K96" s="37"/>
      <x:c r="L96" s="37"/>
      <x:c r="M96" s="37"/>
      <x:c r="N96" s="37"/>
    </x:row>
    <x:row r="97" ht="25" customHeight="1">
      <x:c r="A97" s="6" t="str">
        <x:v>爱尔 高端单眼总收入同比 | Active</x:v>
      </x:c>
      <x:c r="B97" s="6"/>
      <x:c r="C97" s="24"/>
      <x:c r="D97" s="26" t="n">
        <x:f>CHOOSE(Summary!$B$3,D98,D99,D100)</x:f>
        <x:v>0</x:v>
      </x:c>
      <x:c r="E97" s="26" t="n">
        <x:f>CHOOSE(Summary!$B$3,E98,E99,E100)</x:f>
        <x:v>0</x:v>
      </x:c>
      <x:c r="F97" s="26" t="n">
        <x:f>CHOOSE(Summary!$B$3,F98,F99,F100)</x:f>
        <x:v>0</x:v>
      </x:c>
      <x:c r="G97" s="26" t="n">
        <x:f>CHOOSE(Summary!$B$3,G98,G99,G100)</x:f>
        <x:v>0</x:v>
      </x:c>
      <x:c r="H97" s="26" t="n">
        <x:f>CHOOSE(Summary!$B$3,H98,H99,H100)</x:f>
        <x:v>0</x:v>
      </x:c>
      <x:c r="I97" s="2"/>
      <x:c r="J97" s="37"/>
      <x:c r="K97" s="37"/>
      <x:c r="L97" s="37"/>
      <x:c r="M97" s="37"/>
      <x:c r="N97" s="37"/>
    </x:row>
    <x:row r="98" ht="25" customHeight="1">
      <x:c r="A98" s="2" t="str">
        <x:v>下行</x:v>
      </x:c>
      <x:c r="B98" s="2"/>
      <x:c r="C98" s="10"/>
      <x:c r="D98" s="14" t="n">
        <x:v>-0.02</x:v>
      </x:c>
      <x:c r="E98" s="14" t="n">
        <x:v>-0.02</x:v>
      </x:c>
      <x:c r="F98" s="14" t="n">
        <x:v>-0.02</x:v>
      </x:c>
      <x:c r="G98" s="14" t="n">
        <x:v>-0.02</x:v>
      </x:c>
      <x:c r="H98" s="14" t="n">
        <x:v>-0.02</x:v>
      </x:c>
      <x:c r="I98" s="2"/>
      <x:c r="J98" s="37"/>
      <x:c r="K98" s="37"/>
      <x:c r="L98" s="37"/>
      <x:c r="M98" s="37"/>
      <x:c r="N98" s="37"/>
    </x:row>
    <x:row r="99" ht="25" customHeight="1">
      <x:c r="A99" s="2" t="str">
        <x:v>基准</x:v>
      </x:c>
      <x:c r="B99" s="2"/>
      <x:c r="C99" s="10"/>
      <x:c r="D99" s="14" t="n">
        <x:v>0</x:v>
      </x:c>
      <x:c r="E99" s="14" t="n">
        <x:v>0</x:v>
      </x:c>
      <x:c r="F99" s="14" t="n">
        <x:v>0</x:v>
      </x:c>
      <x:c r="G99" s="14" t="n">
        <x:v>0</x:v>
      </x:c>
      <x:c r="H99" s="14" t="n">
        <x:v>0</x:v>
      </x:c>
      <x:c r="I99" s="2"/>
      <x:c r="J99" s="37"/>
      <x:c r="K99" s="37"/>
      <x:c r="L99" s="37"/>
      <x:c r="M99" s="37"/>
      <x:c r="N99" s="37"/>
    </x:row>
    <x:row r="100" ht="25" customHeight="1">
      <x:c r="A100" s="2" t="str">
        <x:v>上行</x:v>
      </x:c>
      <x:c r="B100" s="2"/>
      <x:c r="C100" s="10"/>
      <x:c r="D100" s="14" t="n">
        <x:v>0.01</x:v>
      </x:c>
      <x:c r="E100" s="14" t="n">
        <x:v>0.01</x:v>
      </x:c>
      <x:c r="F100" s="14" t="n">
        <x:v>0.01</x:v>
      </x:c>
      <x:c r="G100" s="14" t="n">
        <x:v>0.01</x:v>
      </x:c>
      <x:c r="H100" s="14" t="n">
        <x:v>0.01</x:v>
      </x:c>
      <x:c r="I100" s="2"/>
      <x:c r="J100" s="37"/>
      <x:c r="K100" s="37"/>
      <x:c r="L100" s="37"/>
      <x:c r="M100" s="37"/>
      <x:c r="N100" s="37"/>
    </x:row>
    <x:row r="101" ht="25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37"/>
      <x:c r="K101" s="37"/>
      <x:c r="L101" s="37"/>
      <x:c r="M101" s="37"/>
      <x:c r="N101" s="37"/>
    </x:row>
    <x:row r="102" ht="25" customHeight="1">
      <x:c r="A102" s="6" t="str">
        <x:v>爱尔 基础晶体采购价同比 | Active</x:v>
      </x:c>
      <x:c r="B102" s="6"/>
      <x:c r="C102" s="24"/>
      <x:c r="D102" s="26" t="n">
        <x:f>CHOOSE(Summary!$B$3,D103,D104,D105)</x:f>
        <x:v>-0.15</x:v>
      </x:c>
      <x:c r="E102" s="26" t="n">
        <x:f>CHOOSE(Summary!$B$3,E103,E104,E105)</x:f>
        <x:v>-0.05</x:v>
      </x:c>
      <x:c r="F102" s="26" t="n">
        <x:f>CHOOSE(Summary!$B$3,F103,F104,F105)</x:f>
        <x:v>-0.03</x:v>
      </x:c>
      <x:c r="G102" s="26" t="n">
        <x:f>CHOOSE(Summary!$B$3,G103,G104,G105)</x:f>
        <x:v>-0.02</x:v>
      </x:c>
      <x:c r="H102" s="26" t="n">
        <x:f>CHOOSE(Summary!$B$3,H103,H104,H105)</x:f>
        <x:v>-0.02</x:v>
      </x:c>
      <x:c r="I102" s="2"/>
      <x:c r="J102" s="37"/>
      <x:c r="K102" s="37"/>
      <x:c r="L102" s="37"/>
      <x:c r="M102" s="37"/>
      <x:c r="N102" s="37"/>
    </x:row>
    <x:row r="103" ht="25" customHeight="1">
      <x:c r="A103" s="2" t="str">
        <x:v>下行</x:v>
      </x:c>
      <x:c r="B103" s="2"/>
      <x:c r="C103" s="10"/>
      <x:c r="D103" s="14" t="n">
        <x:v>-0.15</x:v>
      </x:c>
      <x:c r="E103" s="14" t="n">
        <x:v>-0.05</x:v>
      </x:c>
      <x:c r="F103" s="14" t="n">
        <x:v>-0.03</x:v>
      </x:c>
      <x:c r="G103" s="14" t="n">
        <x:v>-0.02</x:v>
      </x:c>
      <x:c r="H103" s="14" t="n">
        <x:v>-0.02</x:v>
      </x:c>
      <x:c r="I103" s="2"/>
      <x:c r="J103" s="37"/>
      <x:c r="K103" s="37"/>
      <x:c r="L103" s="37"/>
      <x:c r="M103" s="37"/>
      <x:c r="N103" s="37"/>
    </x:row>
    <x:row r="104" ht="25" customHeight="1">
      <x:c r="A104" s="2" t="str">
        <x:v>基准</x:v>
      </x:c>
      <x:c r="B104" s="2"/>
      <x:c r="C104" s="10"/>
      <x:c r="D104" s="14" t="n">
        <x:v>-0.15</x:v>
      </x:c>
      <x:c r="E104" s="14" t="n">
        <x:v>-0.05</x:v>
      </x:c>
      <x:c r="F104" s="14" t="n">
        <x:v>-0.03</x:v>
      </x:c>
      <x:c r="G104" s="14" t="n">
        <x:v>-0.02</x:v>
      </x:c>
      <x:c r="H104" s="14" t="n">
        <x:v>-0.02</x:v>
      </x:c>
      <x:c r="I104" s="2"/>
      <x:c r="J104" s="37"/>
      <x:c r="K104" s="37"/>
      <x:c r="L104" s="37"/>
      <x:c r="M104" s="37"/>
      <x:c r="N104" s="37"/>
    </x:row>
    <x:row r="105" ht="25" customHeight="1">
      <x:c r="A105" s="2" t="str">
        <x:v>上行</x:v>
      </x:c>
      <x:c r="B105" s="2"/>
      <x:c r="C105" s="10"/>
      <x:c r="D105" s="14" t="n">
        <x:v>-0.15</x:v>
      </x:c>
      <x:c r="E105" s="14" t="n">
        <x:v>-0.05</x:v>
      </x:c>
      <x:c r="F105" s="14" t="n">
        <x:v>-0.03</x:v>
      </x:c>
      <x:c r="G105" s="14" t="n">
        <x:v>-0.02</x:v>
      </x:c>
      <x:c r="H105" s="14" t="n">
        <x:v>-0.02</x:v>
      </x:c>
      <x:c r="I105" s="2"/>
      <x:c r="J105" s="37"/>
      <x:c r="K105" s="37"/>
      <x:c r="L105" s="37"/>
      <x:c r="M105" s="37"/>
      <x:c r="N105" s="37"/>
    </x:row>
    <x:row r="106" ht="25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37"/>
      <x:c r="K106" s="37"/>
      <x:c r="L106" s="37"/>
      <x:c r="M106" s="37"/>
      <x:c r="N106" s="37"/>
    </x:row>
    <x:row r="107" ht="25" customHeight="1">
      <x:c r="A107" s="6" t="str">
        <x:v>爱尔 高端晶体采购价同比 | Active</x:v>
      </x:c>
      <x:c r="B107" s="6"/>
      <x:c r="C107" s="24"/>
      <x:c r="D107" s="26" t="n">
        <x:f>CHOOSE(Summary!$B$3,D108,D109,D110)</x:f>
        <x:v>-0.02</x:v>
      </x:c>
      <x:c r="E107" s="26" t="n">
        <x:f>CHOOSE(Summary!$B$3,E108,E109,E110)</x:f>
        <x:v>-0.02</x:v>
      </x:c>
      <x:c r="F107" s="26" t="n">
        <x:f>CHOOSE(Summary!$B$3,F108,F109,F110)</x:f>
        <x:v>-0.02</x:v>
      </x:c>
      <x:c r="G107" s="26" t="n">
        <x:f>CHOOSE(Summary!$B$3,G108,G109,G110)</x:f>
        <x:v>-0.02</x:v>
      </x:c>
      <x:c r="H107" s="26" t="n">
        <x:f>CHOOSE(Summary!$B$3,H108,H109,H110)</x:f>
        <x:v>-0.02</x:v>
      </x:c>
      <x:c r="I107" s="2"/>
      <x:c r="J107" s="37"/>
      <x:c r="K107" s="37"/>
      <x:c r="L107" s="37"/>
      <x:c r="M107" s="37"/>
      <x:c r="N107" s="37"/>
    </x:row>
    <x:row r="108" ht="25" customHeight="1">
      <x:c r="A108" s="2" t="str">
        <x:v>下行</x:v>
      </x:c>
      <x:c r="B108" s="2"/>
      <x:c r="C108" s="10"/>
      <x:c r="D108" s="14" t="n">
        <x:v>-0.02</x:v>
      </x:c>
      <x:c r="E108" s="14" t="n">
        <x:v>-0.02</x:v>
      </x:c>
      <x:c r="F108" s="14" t="n">
        <x:v>-0.02</x:v>
      </x:c>
      <x:c r="G108" s="14" t="n">
        <x:v>-0.02</x:v>
      </x:c>
      <x:c r="H108" s="14" t="n">
        <x:v>-0.02</x:v>
      </x:c>
      <x:c r="I108" s="2"/>
      <x:c r="J108" s="37"/>
      <x:c r="K108" s="37"/>
      <x:c r="L108" s="37"/>
      <x:c r="M108" s="37"/>
      <x:c r="N108" s="37"/>
    </x:row>
    <x:row r="109" ht="25" customHeight="1">
      <x:c r="A109" s="2" t="str">
        <x:v>基准</x:v>
      </x:c>
      <x:c r="B109" s="2"/>
      <x:c r="C109" s="10"/>
      <x:c r="D109" s="14" t="n">
        <x:v>-0.02</x:v>
      </x:c>
      <x:c r="E109" s="14" t="n">
        <x:v>-0.02</x:v>
      </x:c>
      <x:c r="F109" s="14" t="n">
        <x:v>-0.02</x:v>
      </x:c>
      <x:c r="G109" s="14" t="n">
        <x:v>-0.02</x:v>
      </x:c>
      <x:c r="H109" s="14" t="n">
        <x:v>-0.02</x:v>
      </x:c>
      <x:c r="I109" s="2"/>
      <x:c r="J109" s="37"/>
      <x:c r="K109" s="37"/>
      <x:c r="L109" s="37"/>
      <x:c r="M109" s="37"/>
      <x:c r="N109" s="37"/>
    </x:row>
    <x:row r="110" ht="25" customHeight="1">
      <x:c r="A110" s="2" t="str">
        <x:v>上行</x:v>
      </x:c>
      <x:c r="B110" s="2"/>
      <x:c r="C110" s="10"/>
      <x:c r="D110" s="14" t="n">
        <x:v>-0.03</x:v>
      </x:c>
      <x:c r="E110" s="14" t="n">
        <x:v>-0.03</x:v>
      </x:c>
      <x:c r="F110" s="14" t="n">
        <x:v>-0.03</x:v>
      </x:c>
      <x:c r="G110" s="14" t="n">
        <x:v>-0.03</x:v>
      </x:c>
      <x:c r="H110" s="14" t="n">
        <x:v>-0.03</x:v>
      </x:c>
      <x:c r="I110" s="2"/>
      <x:c r="J110" s="37"/>
      <x:c r="K110" s="37"/>
      <x:c r="L110" s="37"/>
      <x:c r="M110" s="37"/>
      <x:c r="N110" s="37"/>
    </x:row>
    <x:row r="111" ht="25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37"/>
      <x:c r="K111" s="37"/>
      <x:c r="L111" s="37"/>
      <x:c r="M111" s="37"/>
      <x:c r="N111" s="37"/>
    </x:row>
    <x:row r="112" ht="25" customHeight="1">
      <x:c r="A112" s="6" t="str">
        <x:v>爱尔 其他单眼成本同比 | Active</x:v>
      </x:c>
      <x:c r="B112" s="6"/>
      <x:c r="C112" s="24"/>
      <x:c r="D112" s="26" t="n">
        <x:f>CHOOSE(Summary!$B$3,D113,D114,D115)</x:f>
        <x:v>0.02</x:v>
      </x:c>
      <x:c r="E112" s="26" t="n">
        <x:f>CHOOSE(Summary!$B$3,E113,E114,E115)</x:f>
        <x:v>0.02</x:v>
      </x:c>
      <x:c r="F112" s="26" t="n">
        <x:f>CHOOSE(Summary!$B$3,F113,F114,F115)</x:f>
        <x:v>0.02</x:v>
      </x:c>
      <x:c r="G112" s="26" t="n">
        <x:f>CHOOSE(Summary!$B$3,G113,G114,G115)</x:f>
        <x:v>0.02</x:v>
      </x:c>
      <x:c r="H112" s="26" t="n">
        <x:f>CHOOSE(Summary!$B$3,H113,H114,H115)</x:f>
        <x:v>0.02</x:v>
      </x:c>
      <x:c r="I112" s="2"/>
      <x:c r="J112" s="37"/>
      <x:c r="K112" s="37"/>
      <x:c r="L112" s="37"/>
      <x:c r="M112" s="37"/>
      <x:c r="N112" s="37"/>
    </x:row>
    <x:row r="113" ht="25" customHeight="1">
      <x:c r="A113" s="2" t="str">
        <x:v>下行</x:v>
      </x:c>
      <x:c r="B113" s="2"/>
      <x:c r="C113" s="10"/>
      <x:c r="D113" s="14" t="n">
        <x:v>0.04</x:v>
      </x:c>
      <x:c r="E113" s="14" t="n">
        <x:v>0.04</x:v>
      </x:c>
      <x:c r="F113" s="14" t="n">
        <x:v>0.04</x:v>
      </x:c>
      <x:c r="G113" s="14" t="n">
        <x:v>0.04</x:v>
      </x:c>
      <x:c r="H113" s="14" t="n">
        <x:v>0.04</x:v>
      </x:c>
      <x:c r="I113" s="2"/>
      <x:c r="J113" s="37"/>
      <x:c r="K113" s="37"/>
      <x:c r="L113" s="37"/>
      <x:c r="M113" s="37"/>
      <x:c r="N113" s="37"/>
    </x:row>
    <x:row r="114" ht="25" customHeight="1">
      <x:c r="A114" s="2" t="str">
        <x:v>基准</x:v>
      </x:c>
      <x:c r="B114" s="2"/>
      <x:c r="C114" s="10"/>
      <x:c r="D114" s="14" t="n">
        <x:v>0.02</x:v>
      </x:c>
      <x:c r="E114" s="14" t="n">
        <x:v>0.02</x:v>
      </x:c>
      <x:c r="F114" s="14" t="n">
        <x:v>0.02</x:v>
      </x:c>
      <x:c r="G114" s="14" t="n">
        <x:v>0.02</x:v>
      </x:c>
      <x:c r="H114" s="14" t="n">
        <x:v>0.02</x:v>
      </x:c>
      <x:c r="I114" s="2"/>
      <x:c r="J114" s="37"/>
      <x:c r="K114" s="37"/>
      <x:c r="L114" s="37"/>
      <x:c r="M114" s="37"/>
      <x:c r="N114" s="37"/>
    </x:row>
    <x:row r="115" ht="25" customHeight="1">
      <x:c r="A115" s="2" t="str">
        <x:v>上行</x:v>
      </x:c>
      <x:c r="B115" s="2"/>
      <x:c r="C115" s="10"/>
      <x:c r="D115" s="14" t="n">
        <x:v>0.01</x:v>
      </x:c>
      <x:c r="E115" s="14" t="n">
        <x:v>0.01</x:v>
      </x:c>
      <x:c r="F115" s="14" t="n">
        <x:v>0.01</x:v>
      </x:c>
      <x:c r="G115" s="14" t="n">
        <x:v>0.01</x:v>
      </x:c>
      <x:c r="H115" s="14" t="n">
        <x:v>0.01</x:v>
      </x:c>
      <x:c r="I115" s="2"/>
      <x:c r="J115" s="37"/>
      <x:c r="K115" s="37"/>
      <x:c r="L115" s="37"/>
      <x:c r="M115" s="37"/>
      <x:c r="N115" s="37"/>
    </x:row>
    <x:row r="116" ht="25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37"/>
      <x:c r="K116" s="37"/>
      <x:c r="L116" s="37"/>
      <x:c r="M116" s="37"/>
      <x:c r="N116" s="37"/>
    </x:row>
    <x:row r="117" ht="25" customHeight="1">
      <x:c r="A117" s="6" t="str">
        <x:v>爱尔 增量收入费用率 | Active</x:v>
      </x:c>
      <x:c r="B117" s="6"/>
      <x:c r="C117" s="24"/>
      <x:c r="D117" s="26" t="n">
        <x:f>CHOOSE(Summary!$B$3,D118,D119,D120)</x:f>
        <x:v>0.15</x:v>
      </x:c>
      <x:c r="E117" s="26" t="n">
        <x:f>CHOOSE(Summary!$B$3,E118,E119,E120)</x:f>
        <x:v>0.15</x:v>
      </x:c>
      <x:c r="F117" s="26" t="n">
        <x:f>CHOOSE(Summary!$B$3,F118,F119,F120)</x:f>
        <x:v>0.15</x:v>
      </x:c>
      <x:c r="G117" s="26" t="n">
        <x:f>CHOOSE(Summary!$B$3,G118,G119,G120)</x:f>
        <x:v>0.15</x:v>
      </x:c>
      <x:c r="H117" s="26" t="n">
        <x:f>CHOOSE(Summary!$B$3,H118,H119,H120)</x:f>
        <x:v>0.15</x:v>
      </x:c>
      <x:c r="I117" s="2"/>
      <x:c r="J117" s="37"/>
      <x:c r="K117" s="37"/>
      <x:c r="L117" s="37"/>
      <x:c r="M117" s="37"/>
      <x:c r="N117" s="37"/>
    </x:row>
    <x:row r="118" ht="25" customHeight="1">
      <x:c r="A118" s="2" t="str">
        <x:v>下行</x:v>
      </x:c>
      <x:c r="B118" s="2"/>
      <x:c r="C118" s="10"/>
      <x:c r="D118" s="14" t="n">
        <x:v>0.2</x:v>
      </x:c>
      <x:c r="E118" s="14" t="n">
        <x:v>0.2</x:v>
      </x:c>
      <x:c r="F118" s="14" t="n">
        <x:v>0.2</x:v>
      </x:c>
      <x:c r="G118" s="14" t="n">
        <x:v>0.2</x:v>
      </x:c>
      <x:c r="H118" s="14" t="n">
        <x:v>0.2</x:v>
      </x:c>
      <x:c r="I118" s="2"/>
      <x:c r="J118" s="37"/>
      <x:c r="K118" s="37"/>
      <x:c r="L118" s="37"/>
      <x:c r="M118" s="37"/>
      <x:c r="N118" s="37"/>
    </x:row>
    <x:row r="119" ht="25" customHeight="1">
      <x:c r="A119" s="2" t="str">
        <x:v>基准</x:v>
      </x:c>
      <x:c r="B119" s="2"/>
      <x:c r="C119" s="10"/>
      <x:c r="D119" s="14" t="n">
        <x:v>0.15</x:v>
      </x:c>
      <x:c r="E119" s="14" t="n">
        <x:v>0.15</x:v>
      </x:c>
      <x:c r="F119" s="14" t="n">
        <x:v>0.15</x:v>
      </x:c>
      <x:c r="G119" s="14" t="n">
        <x:v>0.15</x:v>
      </x:c>
      <x:c r="H119" s="14" t="n">
        <x:v>0.15</x:v>
      </x:c>
      <x:c r="I119" s="2"/>
      <x:c r="J119" s="37"/>
      <x:c r="K119" s="37"/>
      <x:c r="L119" s="37"/>
      <x:c r="M119" s="37"/>
      <x:c r="N119" s="37"/>
    </x:row>
    <x:row r="120" ht="25" customHeight="1">
      <x:c r="A120" s="2" t="str">
        <x:v>上行</x:v>
      </x:c>
      <x:c r="B120" s="2"/>
      <x:c r="C120" s="10"/>
      <x:c r="D120" s="14" t="n">
        <x:v>0.1</x:v>
      </x:c>
      <x:c r="E120" s="14" t="n">
        <x:v>0.1</x:v>
      </x:c>
      <x:c r="F120" s="14" t="n">
        <x:v>0.1</x:v>
      </x:c>
      <x:c r="G120" s="14" t="n">
        <x:v>0.1</x:v>
      </x:c>
      <x:c r="H120" s="14" t="n">
        <x:v>0.1</x:v>
      </x:c>
      <x:c r="I120" s="2"/>
      <x:c r="J120" s="37"/>
      <x:c r="K120" s="37"/>
      <x:c r="L120" s="37"/>
      <x:c r="M120" s="37"/>
      <x:c r="N120" s="37"/>
    </x:row>
    <x:row r="121" ht="25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37"/>
      <x:c r="K121" s="37"/>
      <x:c r="L121" s="37"/>
      <x:c r="M121" s="37"/>
      <x:c r="N121" s="37"/>
    </x:row>
    <x:row r="122" ht="25" customHeight="1">
      <x:c r="A122" s="6" t="str">
        <x:v>爱尔 非白内障收入增速 | Active</x:v>
      </x:c>
      <x:c r="B122" s="6"/>
      <x:c r="C122" s="24"/>
      <x:c r="D122" s="26" t="n">
        <x:f>CHOOSE(Summary!$B$3,D123,D124,D125)</x:f>
        <x:v>0.03</x:v>
      </x:c>
      <x:c r="E122" s="26" t="n">
        <x:f>CHOOSE(Summary!$B$3,E123,E124,E125)</x:f>
        <x:v>0.03</x:v>
      </x:c>
      <x:c r="F122" s="26" t="n">
        <x:f>CHOOSE(Summary!$B$3,F123,F124,F125)</x:f>
        <x:v>0.03</x:v>
      </x:c>
      <x:c r="G122" s="26" t="n">
        <x:f>CHOOSE(Summary!$B$3,G123,G124,G125)</x:f>
        <x:v>0.03</x:v>
      </x:c>
      <x:c r="H122" s="26" t="n">
        <x:f>CHOOSE(Summary!$B$3,H123,H124,H125)</x:f>
        <x:v>0.03</x:v>
      </x:c>
      <x:c r="I122" s="2"/>
      <x:c r="J122" s="37"/>
      <x:c r="K122" s="37"/>
      <x:c r="L122" s="37"/>
      <x:c r="M122" s="37"/>
      <x:c r="N122" s="37"/>
    </x:row>
    <x:row r="123" ht="25" customHeight="1">
      <x:c r="A123" s="2" t="str">
        <x:v>下行</x:v>
      </x:c>
      <x:c r="B123" s="2"/>
      <x:c r="C123" s="10"/>
      <x:c r="D123" s="14" t="n">
        <x:v>0</x:v>
      </x:c>
      <x:c r="E123" s="14" t="n">
        <x:v>0</x:v>
      </x:c>
      <x:c r="F123" s="14" t="n">
        <x:v>0</x:v>
      </x:c>
      <x:c r="G123" s="14" t="n">
        <x:v>0</x:v>
      </x:c>
      <x:c r="H123" s="14" t="n">
        <x:v>0</x:v>
      </x:c>
      <x:c r="I123" s="2"/>
      <x:c r="J123" s="37"/>
      <x:c r="K123" s="37"/>
      <x:c r="L123" s="37"/>
      <x:c r="M123" s="37"/>
      <x:c r="N123" s="37"/>
    </x:row>
    <x:row r="124" ht="25" customHeight="1">
      <x:c r="A124" s="2" t="str">
        <x:v>基准</x:v>
      </x:c>
      <x:c r="B124" s="2"/>
      <x:c r="C124" s="10"/>
      <x:c r="D124" s="14" t="n">
        <x:v>0.03</x:v>
      </x:c>
      <x:c r="E124" s="14" t="n">
        <x:v>0.03</x:v>
      </x:c>
      <x:c r="F124" s="14" t="n">
        <x:v>0.03</x:v>
      </x:c>
      <x:c r="G124" s="14" t="n">
        <x:v>0.03</x:v>
      </x:c>
      <x:c r="H124" s="14" t="n">
        <x:v>0.03</x:v>
      </x:c>
      <x:c r="I124" s="2"/>
      <x:c r="J124" s="37"/>
      <x:c r="K124" s="37"/>
      <x:c r="L124" s="37"/>
      <x:c r="M124" s="37"/>
      <x:c r="N124" s="37"/>
    </x:row>
    <x:row r="125" ht="25" customHeight="1">
      <x:c r="A125" s="2" t="str">
        <x:v>上行</x:v>
      </x:c>
      <x:c r="B125" s="2"/>
      <x:c r="C125" s="10"/>
      <x:c r="D125" s="14" t="n">
        <x:v>0.06</x:v>
      </x:c>
      <x:c r="E125" s="14" t="n">
        <x:v>0.06</x:v>
      </x:c>
      <x:c r="F125" s="14" t="n">
        <x:v>0.06</x:v>
      </x:c>
      <x:c r="G125" s="14" t="n">
        <x:v>0.06</x:v>
      </x:c>
      <x:c r="H125" s="14" t="n">
        <x:v>0.06</x:v>
      </x:c>
      <x:c r="I125" s="2"/>
      <x:c r="J125" s="37"/>
      <x:c r="K125" s="37"/>
      <x:c r="L125" s="37"/>
      <x:c r="M125" s="37"/>
      <x:c r="N125" s="37"/>
    </x:row>
    <x:row r="126" ht="25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37"/>
      <x:c r="K126" s="37"/>
      <x:c r="L126" s="37"/>
      <x:c r="M126" s="37"/>
      <x:c r="N126" s="37"/>
    </x:row>
    <x:row r="127" ht="25" customHeight="1">
      <x:c r="A127" s="6" t="str">
        <x:v>爱尔 非白内障增量净利率 | Active</x:v>
      </x:c>
      <x:c r="B127" s="6"/>
      <x:c r="C127" s="24"/>
      <x:c r="D127" s="26" t="n">
        <x:f>CHOOSE(Summary!$B$3,D128,D129,D130)</x:f>
        <x:v>0.15</x:v>
      </x:c>
      <x:c r="E127" s="26" t="n">
        <x:f>CHOOSE(Summary!$B$3,E128,E129,E130)</x:f>
        <x:v>0.15</x:v>
      </x:c>
      <x:c r="F127" s="26" t="n">
        <x:f>CHOOSE(Summary!$B$3,F128,F129,F130)</x:f>
        <x:v>0.15</x:v>
      </x:c>
      <x:c r="G127" s="26" t="n">
        <x:f>CHOOSE(Summary!$B$3,G128,G129,G130)</x:f>
        <x:v>0.15</x:v>
      </x:c>
      <x:c r="H127" s="26" t="n">
        <x:f>CHOOSE(Summary!$B$3,H128,H129,H130)</x:f>
        <x:v>0.15</x:v>
      </x:c>
      <x:c r="I127" s="2"/>
      <x:c r="J127" s="37"/>
      <x:c r="K127" s="37"/>
      <x:c r="L127" s="37"/>
      <x:c r="M127" s="37"/>
      <x:c r="N127" s="37"/>
    </x:row>
    <x:row r="128" ht="25" customHeight="1">
      <x:c r="A128" s="2" t="str">
        <x:v>下行</x:v>
      </x:c>
      <x:c r="B128" s="2"/>
      <x:c r="C128" s="10"/>
      <x:c r="D128" s="14" t="n">
        <x:v>0.1</x:v>
      </x:c>
      <x:c r="E128" s="14" t="n">
        <x:v>0.1</x:v>
      </x:c>
      <x:c r="F128" s="14" t="n">
        <x:v>0.1</x:v>
      </x:c>
      <x:c r="G128" s="14" t="n">
        <x:v>0.1</x:v>
      </x:c>
      <x:c r="H128" s="14" t="n">
        <x:v>0.1</x:v>
      </x:c>
      <x:c r="I128" s="2"/>
      <x:c r="J128" s="37"/>
      <x:c r="K128" s="37"/>
      <x:c r="L128" s="37"/>
      <x:c r="M128" s="37"/>
      <x:c r="N128" s="37"/>
    </x:row>
    <x:row r="129" ht="25" customHeight="1">
      <x:c r="A129" s="2" t="str">
        <x:v>基准</x:v>
      </x:c>
      <x:c r="B129" s="2"/>
      <x:c r="C129" s="10"/>
      <x:c r="D129" s="14" t="n">
        <x:v>0.15</x:v>
      </x:c>
      <x:c r="E129" s="14" t="n">
        <x:v>0.15</x:v>
      </x:c>
      <x:c r="F129" s="14" t="n">
        <x:v>0.15</x:v>
      </x:c>
      <x:c r="G129" s="14" t="n">
        <x:v>0.15</x:v>
      </x:c>
      <x:c r="H129" s="14" t="n">
        <x:v>0.15</x:v>
      </x:c>
      <x:c r="I129" s="2"/>
      <x:c r="J129" s="37"/>
      <x:c r="K129" s="37"/>
      <x:c r="L129" s="37"/>
      <x:c r="M129" s="37"/>
      <x:c r="N129" s="37"/>
    </x:row>
    <x:row r="130" ht="25" customHeight="1">
      <x:c r="A130" s="2" t="str">
        <x:v>上行</x:v>
      </x:c>
      <x:c r="B130" s="2"/>
      <x:c r="C130" s="10"/>
      <x:c r="D130" s="14" t="n">
        <x:v>0.18</x:v>
      </x:c>
      <x:c r="E130" s="14" t="n">
        <x:v>0.18</x:v>
      </x:c>
      <x:c r="F130" s="14" t="n">
        <x:v>0.18</x:v>
      </x:c>
      <x:c r="G130" s="14" t="n">
        <x:v>0.18</x:v>
      </x:c>
      <x:c r="H130" s="14" t="n">
        <x:v>0.18</x:v>
      </x:c>
      <x:c r="I130" s="2"/>
      <x:c r="J130" s="37"/>
      <x:c r="K130" s="37"/>
      <x:c r="L130" s="37"/>
      <x:c r="M130" s="37"/>
      <x:c r="N130" s="37"/>
    </x:row>
    <x:row r="131" ht="25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37"/>
      <x:c r="K131" s="37"/>
      <x:c r="L131" s="37"/>
      <x:c r="M131" s="37"/>
      <x:c r="N131" s="37"/>
    </x:row>
    <x:row r="132" ht="25" customHeight="1">
      <x:c r="A132" s="6" t="str">
        <x:v>爱尔 集团其他存量利润调整 | Active</x:v>
      </x:c>
      <x:c r="B132" s="6"/>
      <x:c r="C132" s="24"/>
      <x:c r="D132" s="25" t="n">
        <x:f>CHOOSE(Summary!$B$3,D133,D134,D135)</x:f>
        <x:v>-500</x:v>
      </x:c>
      <x:c r="E132" s="25" t="n">
        <x:f>CHOOSE(Summary!$B$3,E133,E134,E135)</x:f>
        <x:v>-400</x:v>
      </x:c>
      <x:c r="F132" s="25" t="n">
        <x:f>CHOOSE(Summary!$B$3,F133,F134,F135)</x:f>
        <x:v>-300</x:v>
      </x:c>
      <x:c r="G132" s="25" t="n">
        <x:f>CHOOSE(Summary!$B$3,G133,G134,G135)</x:f>
        <x:v>-200</x:v>
      </x:c>
      <x:c r="H132" s="25" t="n">
        <x:f>CHOOSE(Summary!$B$3,H133,H134,H135)</x:f>
        <x:v>-100</x:v>
      </x:c>
      <x:c r="I132" s="2"/>
      <x:c r="J132" s="37" t="str">
        <x:v>百万元；年度水平，非累计。H1扣非同比减少约525；持续性未知</x:v>
      </x:c>
      <x:c r="K132" s="37"/>
      <x:c r="L132" s="37"/>
      <x:c r="M132" s="37"/>
      <x:c r="N132" s="37"/>
    </x:row>
    <x:row r="133" ht="25" customHeight="1">
      <x:c r="A133" s="2" t="str">
        <x:v>下行</x:v>
      </x:c>
      <x:c r="B133" s="2"/>
      <x:c r="C133" s="10"/>
      <x:c r="D133" s="23" t="n">
        <x:v>-800</x:v>
      </x:c>
      <x:c r="E133" s="23" t="n">
        <x:v>-800</x:v>
      </x:c>
      <x:c r="F133" s="23" t="n">
        <x:v>-800</x:v>
      </x:c>
      <x:c r="G133" s="23" t="n">
        <x:v>-800</x:v>
      </x:c>
      <x:c r="H133" s="23" t="n">
        <x:v>-800</x:v>
      </x:c>
      <x:c r="I133" s="2"/>
      <x:c r="J133" s="37"/>
      <x:c r="K133" s="37"/>
      <x:c r="L133" s="37"/>
      <x:c r="M133" s="37"/>
      <x:c r="N133" s="37"/>
    </x:row>
    <x:row r="134" ht="25" customHeight="1">
      <x:c r="A134" s="2" t="str">
        <x:v>基准</x:v>
      </x:c>
      <x:c r="B134" s="2"/>
      <x:c r="C134" s="10"/>
      <x:c r="D134" s="23" t="n">
        <x:v>-500</x:v>
      </x:c>
      <x:c r="E134" s="23" t="n">
        <x:v>-400</x:v>
      </x:c>
      <x:c r="F134" s="23" t="n">
        <x:v>-300</x:v>
      </x:c>
      <x:c r="G134" s="23" t="n">
        <x:v>-200</x:v>
      </x:c>
      <x:c r="H134" s="23" t="n">
        <x:v>-100</x:v>
      </x:c>
      <x:c r="I134" s="2"/>
      <x:c r="J134" s="37"/>
      <x:c r="K134" s="37"/>
      <x:c r="L134" s="37"/>
      <x:c r="M134" s="37"/>
      <x:c r="N134" s="37"/>
    </x:row>
    <x:row r="135" ht="25" customHeight="1">
      <x:c r="A135" s="2" t="str">
        <x:v>上行</x:v>
      </x:c>
      <x:c r="B135" s="2"/>
      <x:c r="C135" s="10"/>
      <x:c r="D135" s="23" t="n">
        <x:v>-200</x:v>
      </x:c>
      <x:c r="E135" s="23" t="n">
        <x:v>-100</x:v>
      </x:c>
      <x:c r="F135" s="23" t="n">
        <x:v>0</x:v>
      </x:c>
      <x:c r="G135" s="23" t="n">
        <x:v>0</x:v>
      </x:c>
      <x:c r="H135" s="23" t="n">
        <x:v>0</x:v>
      </x:c>
      <x:c r="I135" s="2"/>
      <x:c r="J135" s="37"/>
      <x:c r="K135" s="37"/>
      <x:c r="L135" s="37"/>
      <x:c r="M135" s="37"/>
      <x:c r="N135" s="37"/>
    </x:row>
    <x:row r="136" ht="25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37"/>
      <x:c r="K136" s="37"/>
      <x:c r="L136" s="37"/>
      <x:c r="M136" s="37"/>
      <x:c r="N136" s="37"/>
    </x:row>
    <x:row r="137" ht="25" customHeight="1">
      <x:c r="A137" s="6" t="str">
        <x:v>可孚 听力总销量增速 | Active</x:v>
      </x:c>
      <x:c r="B137" s="6"/>
      <x:c r="C137" s="24"/>
      <x:c r="D137" s="26" t="n">
        <x:f>CHOOSE(Summary!$B$3,D138,D139,D140)</x:f>
        <x:v>0.2</x:v>
      </x:c>
      <x:c r="E137" s="26" t="n">
        <x:f>CHOOSE(Summary!$B$3,E138,E139,E140)</x:f>
        <x:v>0.2</x:v>
      </x:c>
      <x:c r="F137" s="26" t="n">
        <x:f>CHOOSE(Summary!$B$3,F138,F139,F140)</x:f>
        <x:v>0.2</x:v>
      </x:c>
      <x:c r="G137" s="26" t="n">
        <x:f>CHOOSE(Summary!$B$3,G138,G139,G140)</x:f>
        <x:v>0.2</x:v>
      </x:c>
      <x:c r="H137" s="26" t="n">
        <x:f>CHOOSE(Summary!$B$3,H138,H139,H140)</x:f>
        <x:v>0.2</x:v>
      </x:c>
      <x:c r="I137" s="2"/>
      <x:c r="J137" s="37"/>
      <x:c r="K137" s="37"/>
      <x:c r="L137" s="37"/>
      <x:c r="M137" s="37"/>
      <x:c r="N137" s="37"/>
    </x:row>
    <x:row r="138" ht="25" customHeight="1">
      <x:c r="A138" s="2" t="str">
        <x:v>下行</x:v>
      </x:c>
      <x:c r="B138" s="2"/>
      <x:c r="C138" s="10"/>
      <x:c r="D138" s="14" t="n">
        <x:v>0.12</x:v>
      </x:c>
      <x:c r="E138" s="14" t="n">
        <x:v>0.12</x:v>
      </x:c>
      <x:c r="F138" s="14" t="n">
        <x:v>0.12</x:v>
      </x:c>
      <x:c r="G138" s="14" t="n">
        <x:v>0.12</x:v>
      </x:c>
      <x:c r="H138" s="14" t="n">
        <x:v>0.12</x:v>
      </x:c>
      <x:c r="I138" s="2"/>
      <x:c r="J138" s="37"/>
      <x:c r="K138" s="37"/>
      <x:c r="L138" s="37"/>
      <x:c r="M138" s="37"/>
      <x:c r="N138" s="37"/>
    </x:row>
    <x:row r="139" ht="25" customHeight="1">
      <x:c r="A139" s="2" t="str">
        <x:v>基准</x:v>
      </x:c>
      <x:c r="B139" s="2"/>
      <x:c r="C139" s="10"/>
      <x:c r="D139" s="14" t="n">
        <x:v>0.2</x:v>
      </x:c>
      <x:c r="E139" s="14" t="n">
        <x:v>0.2</x:v>
      </x:c>
      <x:c r="F139" s="14" t="n">
        <x:v>0.2</x:v>
      </x:c>
      <x:c r="G139" s="14" t="n">
        <x:v>0.2</x:v>
      </x:c>
      <x:c r="H139" s="14" t="n">
        <x:v>0.2</x:v>
      </x:c>
      <x:c r="I139" s="2"/>
      <x:c r="J139" s="37"/>
      <x:c r="K139" s="37"/>
      <x:c r="L139" s="37"/>
      <x:c r="M139" s="37"/>
      <x:c r="N139" s="37"/>
    </x:row>
    <x:row r="140" ht="25" customHeight="1">
      <x:c r="A140" s="2" t="str">
        <x:v>上行</x:v>
      </x:c>
      <x:c r="B140" s="2"/>
      <x:c r="C140" s="10"/>
      <x:c r="D140" s="14" t="n">
        <x:v>0.25</x:v>
      </x:c>
      <x:c r="E140" s="14" t="n">
        <x:v>0.25</x:v>
      </x:c>
      <x:c r="F140" s="14" t="n">
        <x:v>0.25</x:v>
      </x:c>
      <x:c r="G140" s="14" t="n">
        <x:v>0.25</x:v>
      </x:c>
      <x:c r="H140" s="14" t="n">
        <x:v>0.25</x:v>
      </x:c>
      <x:c r="I140" s="2"/>
      <x:c r="J140" s="37"/>
      <x:c r="K140" s="37"/>
      <x:c r="L140" s="37"/>
      <x:c r="M140" s="37"/>
      <x:c r="N140" s="37"/>
    </x:row>
    <x:row r="141" ht="25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37"/>
      <x:c r="K141" s="37"/>
      <x:c r="L141" s="37"/>
      <x:c r="M141" s="37"/>
      <x:c r="N141" s="37"/>
    </x:row>
    <x:row r="142" ht="25" customHeight="1">
      <x:c r="A142" s="6" t="str">
        <x:v>可孚 听力混合厂商ASP同比 | Active</x:v>
      </x:c>
      <x:c r="B142" s="6"/>
      <x:c r="C142" s="24"/>
      <x:c r="D142" s="26" t="n">
        <x:f>CHOOSE(Summary!$B$3,D143,D144,D145)</x:f>
        <x:v>-0.03</x:v>
      </x:c>
      <x:c r="E142" s="26" t="n">
        <x:f>CHOOSE(Summary!$B$3,E143,E144,E145)</x:f>
        <x:v>-0.03</x:v>
      </x:c>
      <x:c r="F142" s="26" t="n">
        <x:f>CHOOSE(Summary!$B$3,F143,F144,F145)</x:f>
        <x:v>-0.03</x:v>
      </x:c>
      <x:c r="G142" s="26" t="n">
        <x:f>CHOOSE(Summary!$B$3,G143,G144,G145)</x:f>
        <x:v>-0.03</x:v>
      </x:c>
      <x:c r="H142" s="26" t="n">
        <x:f>CHOOSE(Summary!$B$3,H143,H144,H145)</x:f>
        <x:v>-0.03</x:v>
      </x:c>
      <x:c r="I142" s="2"/>
      <x:c r="J142" s="37" t="str">
        <x:v>不是健耳门店客单价</x:v>
      </x:c>
      <x:c r="K142" s="37"/>
      <x:c r="L142" s="37"/>
      <x:c r="M142" s="37"/>
      <x:c r="N142" s="37"/>
    </x:row>
    <x:row r="143" ht="25" customHeight="1">
      <x:c r="A143" s="2" t="str">
        <x:v>下行</x:v>
      </x:c>
      <x:c r="B143" s="2"/>
      <x:c r="C143" s="10"/>
      <x:c r="D143" s="14" t="n">
        <x:v>-0.06</x:v>
      </x:c>
      <x:c r="E143" s="14" t="n">
        <x:v>-0.06</x:v>
      </x:c>
      <x:c r="F143" s="14" t="n">
        <x:v>-0.06</x:v>
      </x:c>
      <x:c r="G143" s="14" t="n">
        <x:v>-0.06</x:v>
      </x:c>
      <x:c r="H143" s="14" t="n">
        <x:v>-0.06</x:v>
      </x:c>
      <x:c r="I143" s="2"/>
      <x:c r="J143" s="37"/>
      <x:c r="K143" s="37"/>
      <x:c r="L143" s="37"/>
      <x:c r="M143" s="37"/>
      <x:c r="N143" s="37"/>
    </x:row>
    <x:row r="144" ht="25" customHeight="1">
      <x:c r="A144" s="2" t="str">
        <x:v>基准</x:v>
      </x:c>
      <x:c r="B144" s="2"/>
      <x:c r="C144" s="10"/>
      <x:c r="D144" s="14" t="n">
        <x:v>-0.03</x:v>
      </x:c>
      <x:c r="E144" s="14" t="n">
        <x:v>-0.03</x:v>
      </x:c>
      <x:c r="F144" s="14" t="n">
        <x:v>-0.03</x:v>
      </x:c>
      <x:c r="G144" s="14" t="n">
        <x:v>-0.03</x:v>
      </x:c>
      <x:c r="H144" s="14" t="n">
        <x:v>-0.03</x:v>
      </x:c>
      <x:c r="I144" s="2"/>
      <x:c r="J144" s="37"/>
      <x:c r="K144" s="37"/>
      <x:c r="L144" s="37"/>
      <x:c r="M144" s="37"/>
      <x:c r="N144" s="37"/>
    </x:row>
    <x:row r="145" ht="25" customHeight="1">
      <x:c r="A145" s="2" t="str">
        <x:v>上行</x:v>
      </x:c>
      <x:c r="B145" s="2"/>
      <x:c r="C145" s="10"/>
      <x:c r="D145" s="14" t="n">
        <x:v>0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2"/>
      <x:c r="J145" s="37"/>
      <x:c r="K145" s="37"/>
      <x:c r="L145" s="37"/>
      <x:c r="M145" s="37"/>
      <x:c r="N145" s="37"/>
    </x:row>
    <x:row r="146" ht="25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37"/>
      <x:c r="K146" s="37"/>
      <x:c r="L146" s="37"/>
      <x:c r="M146" s="37"/>
      <x:c r="N146" s="37"/>
    </x:row>
    <x:row r="147" ht="25" customHeight="1">
      <x:c r="A147" s="6" t="str">
        <x:v>可孚 听力毛利率(未披露) | Active</x:v>
      </x:c>
      <x:c r="B147" s="6"/>
      <x:c r="C147" s="24"/>
      <x:c r="D147" s="26" t="n">
        <x:f>CHOOSE(Summary!$B$3,D148,D149,D150)</x:f>
        <x:v>0.65</x:v>
      </x:c>
      <x:c r="E147" s="26" t="n">
        <x:f>CHOOSE(Summary!$B$3,E148,E149,E150)</x:f>
        <x:v>0.65</x:v>
      </x:c>
      <x:c r="F147" s="26" t="n">
        <x:f>CHOOSE(Summary!$B$3,F148,F149,F150)</x:f>
        <x:v>0.65</x:v>
      </x:c>
      <x:c r="G147" s="26" t="n">
        <x:f>CHOOSE(Summary!$B$3,G148,G149,G150)</x:f>
        <x:v>0.65</x:v>
      </x:c>
      <x:c r="H147" s="26" t="n">
        <x:f>CHOOSE(Summary!$B$3,H148,H149,H150)</x:f>
        <x:v>0.65</x:v>
      </x:c>
      <x:c r="I147" s="2"/>
      <x:c r="J147" s="37" t="str">
        <x:v>仅假设，不用康复辅具毛利替代</x:v>
      </x:c>
      <x:c r="K147" s="37"/>
      <x:c r="L147" s="37"/>
      <x:c r="M147" s="37"/>
      <x:c r="N147" s="37"/>
    </x:row>
    <x:row r="148" ht="25" customHeight="1">
      <x:c r="A148" s="2" t="str">
        <x:v>下行</x:v>
      </x:c>
      <x:c r="B148" s="2"/>
      <x:c r="C148" s="10"/>
      <x:c r="D148" s="14" t="n">
        <x:v>0.55</x:v>
      </x:c>
      <x:c r="E148" s="14" t="n">
        <x:v>0.55</x:v>
      </x:c>
      <x:c r="F148" s="14" t="n">
        <x:v>0.55</x:v>
      </x:c>
      <x:c r="G148" s="14" t="n">
        <x:v>0.55</x:v>
      </x:c>
      <x:c r="H148" s="14" t="n">
        <x:v>0.55</x:v>
      </x:c>
      <x:c r="I148" s="2"/>
      <x:c r="J148" s="37"/>
      <x:c r="K148" s="37"/>
      <x:c r="L148" s="37"/>
      <x:c r="M148" s="37"/>
      <x:c r="N148" s="37"/>
    </x:row>
    <x:row r="149" ht="25" customHeight="1">
      <x:c r="A149" s="2" t="str">
        <x:v>基准</x:v>
      </x:c>
      <x:c r="B149" s="2"/>
      <x:c r="C149" s="10"/>
      <x:c r="D149" s="14" t="n">
        <x:v>0.65</x:v>
      </x:c>
      <x:c r="E149" s="14" t="n">
        <x:v>0.65</x:v>
      </x:c>
      <x:c r="F149" s="14" t="n">
        <x:v>0.65</x:v>
      </x:c>
      <x:c r="G149" s="14" t="n">
        <x:v>0.65</x:v>
      </x:c>
      <x:c r="H149" s="14" t="n">
        <x:v>0.65</x:v>
      </x:c>
      <x:c r="I149" s="2"/>
      <x:c r="J149" s="37"/>
      <x:c r="K149" s="37"/>
      <x:c r="L149" s="37"/>
      <x:c r="M149" s="37"/>
      <x:c r="N149" s="37"/>
    </x:row>
    <x:row r="150" ht="25" customHeight="1">
      <x:c r="A150" s="2" t="str">
        <x:v>上行</x:v>
      </x:c>
      <x:c r="B150" s="2"/>
      <x:c r="C150" s="10"/>
      <x:c r="D150" s="14" t="n">
        <x:v>0.75</x:v>
      </x:c>
      <x:c r="E150" s="14" t="n">
        <x:v>0.75</x:v>
      </x:c>
      <x:c r="F150" s="14" t="n">
        <x:v>0.75</x:v>
      </x:c>
      <x:c r="G150" s="14" t="n">
        <x:v>0.75</x:v>
      </x:c>
      <x:c r="H150" s="14" t="n">
        <x:v>0.75</x:v>
      </x:c>
      <x:c r="I150" s="2"/>
      <x:c r="J150" s="37"/>
      <x:c r="K150" s="37"/>
      <x:c r="L150" s="37"/>
      <x:c r="M150" s="37"/>
      <x:c r="N150" s="37"/>
    </x:row>
    <x:row r="151" ht="25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37"/>
      <x:c r="K151" s="37"/>
      <x:c r="L151" s="37"/>
      <x:c r="M151" s="37"/>
      <x:c r="N151" s="37"/>
    </x:row>
    <x:row r="152" ht="25" customHeight="1">
      <x:c r="A152" s="6" t="str">
        <x:v>可孚 增量毛利费用消耗比 | Active</x:v>
      </x:c>
      <x:c r="B152" s="6"/>
      <x:c r="C152" s="24"/>
      <x:c r="D152" s="26" t="n">
        <x:f>CHOOSE(Summary!$B$3,D153,D154,D155)</x:f>
        <x:v>0.65</x:v>
      </x:c>
      <x:c r="E152" s="26" t="n">
        <x:f>CHOOSE(Summary!$B$3,E153,E154,E155)</x:f>
        <x:v>0.65</x:v>
      </x:c>
      <x:c r="F152" s="26" t="n">
        <x:f>CHOOSE(Summary!$B$3,F153,F154,F155)</x:f>
        <x:v>0.65</x:v>
      </x:c>
      <x:c r="G152" s="26" t="n">
        <x:f>CHOOSE(Summary!$B$3,G153,G154,G155)</x:f>
        <x:v>0.65</x:v>
      </x:c>
      <x:c r="H152" s="26" t="n">
        <x:f>CHOOSE(Summary!$B$3,H153,H154,H155)</x:f>
        <x:v>0.65</x:v>
      </x:c>
      <x:c r="I152" s="2"/>
      <x:c r="J152" s="37" t="str">
        <x:v>还需扣固定新增费用与税</x:v>
      </x:c>
      <x:c r="K152" s="37"/>
      <x:c r="L152" s="37"/>
      <x:c r="M152" s="37"/>
      <x:c r="N152" s="37"/>
    </x:row>
    <x:row r="153" ht="25" customHeight="1">
      <x:c r="A153" s="2" t="str">
        <x:v>下行</x:v>
      </x:c>
      <x:c r="B153" s="2"/>
      <x:c r="C153" s="10"/>
      <x:c r="D153" s="14" t="n">
        <x:v>0.8</x:v>
      </x:c>
      <x:c r="E153" s="14" t="n">
        <x:v>0.8</x:v>
      </x:c>
      <x:c r="F153" s="14" t="n">
        <x:v>0.8</x:v>
      </x:c>
      <x:c r="G153" s="14" t="n">
        <x:v>0.8</x:v>
      </x:c>
      <x:c r="H153" s="14" t="n">
        <x:v>0.8</x:v>
      </x:c>
      <x:c r="I153" s="2"/>
      <x:c r="J153" s="37"/>
      <x:c r="K153" s="37"/>
      <x:c r="L153" s="37"/>
      <x:c r="M153" s="37"/>
      <x:c r="N153" s="37"/>
    </x:row>
    <x:row r="154" ht="25" customHeight="1">
      <x:c r="A154" s="2" t="str">
        <x:v>基准</x:v>
      </x:c>
      <x:c r="B154" s="2"/>
      <x:c r="C154" s="10"/>
      <x:c r="D154" s="14" t="n">
        <x:v>0.65</x:v>
      </x:c>
      <x:c r="E154" s="14" t="n">
        <x:v>0.65</x:v>
      </x:c>
      <x:c r="F154" s="14" t="n">
        <x:v>0.65</x:v>
      </x:c>
      <x:c r="G154" s="14" t="n">
        <x:v>0.65</x:v>
      </x:c>
      <x:c r="H154" s="14" t="n">
        <x:v>0.65</x:v>
      </x:c>
      <x:c r="I154" s="2"/>
      <x:c r="J154" s="37"/>
      <x:c r="K154" s="37"/>
      <x:c r="L154" s="37"/>
      <x:c r="M154" s="37"/>
      <x:c r="N154" s="37"/>
    </x:row>
    <x:row r="155" ht="25" customHeight="1">
      <x:c r="A155" s="2" t="str">
        <x:v>上行</x:v>
      </x:c>
      <x:c r="B155" s="2"/>
      <x:c r="C155" s="10"/>
      <x:c r="D155" s="14" t="n">
        <x:v>0.55</x:v>
      </x:c>
      <x:c r="E155" s="14" t="n">
        <x:v>0.55</x:v>
      </x:c>
      <x:c r="F155" s="14" t="n">
        <x:v>0.55</x:v>
      </x:c>
      <x:c r="G155" s="14" t="n">
        <x:v>0.55</x:v>
      </x:c>
      <x:c r="H155" s="14" t="n">
        <x:v>0.55</x:v>
      </x:c>
      <x:c r="I155" s="2"/>
      <x:c r="J155" s="37"/>
      <x:c r="K155" s="37"/>
      <x:c r="L155" s="37"/>
      <x:c r="M155" s="37"/>
      <x:c r="N155" s="37"/>
    </x:row>
    <x:row r="156" ht="25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37"/>
      <x:c r="K156" s="37"/>
      <x:c r="L156" s="37"/>
      <x:c r="M156" s="37"/>
      <x:c r="N156" s="37"/>
    </x:row>
    <x:row r="157" ht="25" customHeight="1">
      <x:c r="A157" s="6" t="str">
        <x:v>听力每年新增固定费用 | Active</x:v>
      </x:c>
      <x:c r="B157" s="6"/>
      <x:c r="C157" s="24"/>
      <x:c r="D157" s="25" t="n">
        <x:f>CHOOSE(Summary!$B$3,D158,D159,D160)</x:f>
        <x:v>4</x:v>
      </x:c>
      <x:c r="E157" s="25" t="n">
        <x:f>CHOOSE(Summary!$B$3,E158,E159,E160)</x:f>
        <x:v>4</x:v>
      </x:c>
      <x:c r="F157" s="25" t="n">
        <x:f>CHOOSE(Summary!$B$3,F158,F159,F160)</x:f>
        <x:v>4</x:v>
      </x:c>
      <x:c r="G157" s="25" t="n">
        <x:f>CHOOSE(Summary!$B$3,G158,G159,G160)</x:f>
        <x:v>4</x:v>
      </x:c>
      <x:c r="H157" s="25" t="n">
        <x:f>CHOOSE(Summary!$B$3,H158,H159,H160)</x:f>
        <x:v>4</x:v>
      </x:c>
      <x:c r="I157" s="2"/>
      <x:c r="J157" s="37" t="str">
        <x:v>百万元累计；未知门店净利率</x:v>
      </x:c>
      <x:c r="K157" s="37"/>
      <x:c r="L157" s="37"/>
      <x:c r="M157" s="37"/>
      <x:c r="N157" s="37"/>
    </x:row>
    <x:row r="158" ht="25" customHeight="1">
      <x:c r="A158" s="2" t="str">
        <x:v>下行</x:v>
      </x:c>
      <x:c r="B158" s="2"/>
      <x:c r="C158" s="10"/>
      <x:c r="D158" s="23" t="n">
        <x:v>6</x:v>
      </x:c>
      <x:c r="E158" s="23" t="n">
        <x:v>6</x:v>
      </x:c>
      <x:c r="F158" s="23" t="n">
        <x:v>6</x:v>
      </x:c>
      <x:c r="G158" s="23" t="n">
        <x:v>6</x:v>
      </x:c>
      <x:c r="H158" s="23" t="n">
        <x:v>6</x:v>
      </x:c>
      <x:c r="I158" s="2"/>
      <x:c r="J158" s="37"/>
      <x:c r="K158" s="37"/>
      <x:c r="L158" s="37"/>
      <x:c r="M158" s="37"/>
      <x:c r="N158" s="37"/>
    </x:row>
    <x:row r="159" ht="25" customHeight="1">
      <x:c r="A159" s="2" t="str">
        <x:v>基准</x:v>
      </x:c>
      <x:c r="B159" s="2"/>
      <x:c r="C159" s="10"/>
      <x:c r="D159" s="23" t="n">
        <x:v>4</x:v>
      </x:c>
      <x:c r="E159" s="23" t="n">
        <x:v>4</x:v>
      </x:c>
      <x:c r="F159" s="23" t="n">
        <x:v>4</x:v>
      </x:c>
      <x:c r="G159" s="23" t="n">
        <x:v>4</x:v>
      </x:c>
      <x:c r="H159" s="23" t="n">
        <x:v>4</x:v>
      </x:c>
      <x:c r="I159" s="2"/>
      <x:c r="J159" s="37"/>
      <x:c r="K159" s="37"/>
      <x:c r="L159" s="37"/>
      <x:c r="M159" s="37"/>
      <x:c r="N159" s="37"/>
    </x:row>
    <x:row r="160" ht="25" customHeight="1">
      <x:c r="A160" s="2" t="str">
        <x:v>上行</x:v>
      </x:c>
      <x:c r="B160" s="2"/>
      <x:c r="C160" s="10"/>
      <x:c r="D160" s="23" t="n">
        <x:v>2</x:v>
      </x:c>
      <x:c r="E160" s="23" t="n">
        <x:v>2</x:v>
      </x:c>
      <x:c r="F160" s="23" t="n">
        <x:v>2</x:v>
      </x:c>
      <x:c r="G160" s="23" t="n">
        <x:v>2</x:v>
      </x:c>
      <x:c r="H160" s="23" t="n">
        <x:v>2</x:v>
      </x:c>
      <x:c r="I160" s="2"/>
      <x:c r="J160" s="37"/>
      <x:c r="K160" s="37"/>
      <x:c r="L160" s="37"/>
      <x:c r="M160" s="37"/>
      <x:c r="N160" s="37"/>
    </x:row>
    <x:row r="161" ht="25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37"/>
      <x:c r="K161" s="37"/>
      <x:c r="L161" s="37"/>
      <x:c r="M161" s="37"/>
      <x:c r="N161" s="37"/>
    </x:row>
    <x:row r="162" ht="25" customHeight="1">
      <x:c r="A162" s="6" t="str">
        <x:v>可孚 其他收入增速 | Active</x:v>
      </x:c>
      <x:c r="B162" s="6"/>
      <x:c r="C162" s="24"/>
      <x:c r="D162" s="26" t="n">
        <x:f>CHOOSE(Summary!$B$3,D163,D164,D165)</x:f>
        <x:v>0.05</x:v>
      </x:c>
      <x:c r="E162" s="26" t="n">
        <x:f>CHOOSE(Summary!$B$3,E163,E164,E165)</x:f>
        <x:v>0.05</x:v>
      </x:c>
      <x:c r="F162" s="26" t="n">
        <x:f>CHOOSE(Summary!$B$3,F163,F164,F165)</x:f>
        <x:v>0.05</x:v>
      </x:c>
      <x:c r="G162" s="26" t="n">
        <x:f>CHOOSE(Summary!$B$3,G163,G164,G165)</x:f>
        <x:v>0.05</x:v>
      </x:c>
      <x:c r="H162" s="26" t="n">
        <x:f>CHOOSE(Summary!$B$3,H163,H164,H165)</x:f>
        <x:v>0.05</x:v>
      </x:c>
      <x:c r="I162" s="2"/>
      <x:c r="J162" s="37"/>
      <x:c r="K162" s="37"/>
      <x:c r="L162" s="37"/>
      <x:c r="M162" s="37"/>
      <x:c r="N162" s="37"/>
    </x:row>
    <x:row r="163" ht="25" customHeight="1">
      <x:c r="A163" s="2" t="str">
        <x:v>下行</x:v>
      </x:c>
      <x:c r="B163" s="2"/>
      <x:c r="C163" s="10"/>
      <x:c r="D163" s="14" t="n">
        <x:v>0.02</x:v>
      </x:c>
      <x:c r="E163" s="14" t="n">
        <x:v>0.02</x:v>
      </x:c>
      <x:c r="F163" s="14" t="n">
        <x:v>0.02</x:v>
      </x:c>
      <x:c r="G163" s="14" t="n">
        <x:v>0.02</x:v>
      </x:c>
      <x:c r="H163" s="14" t="n">
        <x:v>0.02</x:v>
      </x:c>
      <x:c r="I163" s="2"/>
      <x:c r="J163" s="37"/>
      <x:c r="K163" s="37"/>
      <x:c r="L163" s="37"/>
      <x:c r="M163" s="37"/>
      <x:c r="N163" s="37"/>
    </x:row>
    <x:row r="164" ht="25" customHeight="1">
      <x:c r="A164" s="2" t="str">
        <x:v>基准</x:v>
      </x:c>
      <x:c r="B164" s="2"/>
      <x:c r="C164" s="10"/>
      <x:c r="D164" s="14" t="n">
        <x:v>0.05</x:v>
      </x:c>
      <x:c r="E164" s="14" t="n">
        <x:v>0.05</x:v>
      </x:c>
      <x:c r="F164" s="14" t="n">
        <x:v>0.05</x:v>
      </x:c>
      <x:c r="G164" s="14" t="n">
        <x:v>0.05</x:v>
      </x:c>
      <x:c r="H164" s="14" t="n">
        <x:v>0.05</x:v>
      </x:c>
      <x:c r="I164" s="2"/>
      <x:c r="J164" s="37"/>
      <x:c r="K164" s="37"/>
      <x:c r="L164" s="37"/>
      <x:c r="M164" s="37"/>
      <x:c r="N164" s="37"/>
    </x:row>
    <x:row r="165" ht="25" customHeight="1">
      <x:c r="A165" s="2" t="str">
        <x:v>上行</x:v>
      </x:c>
      <x:c r="B165" s="2"/>
      <x:c r="C165" s="10"/>
      <x:c r="D165" s="14" t="n">
        <x:v>0.08</x:v>
      </x:c>
      <x:c r="E165" s="14" t="n">
        <x:v>0.08</x:v>
      </x:c>
      <x:c r="F165" s="14" t="n">
        <x:v>0.08</x:v>
      </x:c>
      <x:c r="G165" s="14" t="n">
        <x:v>0.08</x:v>
      </x:c>
      <x:c r="H165" s="14" t="n">
        <x:v>0.08</x:v>
      </x:c>
      <x:c r="I165" s="2"/>
      <x:c r="J165" s="37"/>
      <x:c r="K165" s="37"/>
      <x:c r="L165" s="37"/>
      <x:c r="M165" s="37"/>
      <x:c r="N165" s="37"/>
    </x:row>
    <x:row r="166" ht="25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37"/>
      <x:c r="K166" s="37"/>
      <x:c r="L166" s="37"/>
      <x:c r="M166" s="37"/>
      <x:c r="N166" s="37"/>
    </x:row>
    <x:row r="167" ht="25" customHeight="1">
      <x:c r="A167" s="6" t="str">
        <x:v>可孚 其他增量净利率 | Active</x:v>
      </x:c>
      <x:c r="B167" s="6"/>
      <x:c r="C167" s="24"/>
      <x:c r="D167" s="26" t="n">
        <x:f>CHOOSE(Summary!$B$3,D168,D169,D170)</x:f>
        <x:v>0.08</x:v>
      </x:c>
      <x:c r="E167" s="26" t="n">
        <x:f>CHOOSE(Summary!$B$3,E168,E169,E170)</x:f>
        <x:v>0.08</x:v>
      </x:c>
      <x:c r="F167" s="26" t="n">
        <x:f>CHOOSE(Summary!$B$3,F168,F169,F170)</x:f>
        <x:v>0.08</x:v>
      </x:c>
      <x:c r="G167" s="26" t="n">
        <x:f>CHOOSE(Summary!$B$3,G168,G169,G170)</x:f>
        <x:v>0.08</x:v>
      </x:c>
      <x:c r="H167" s="26" t="n">
        <x:f>CHOOSE(Summary!$B$3,H168,H169,H170)</x:f>
        <x:v>0.08</x:v>
      </x:c>
      <x:c r="I167" s="2"/>
      <x:c r="J167" s="37"/>
      <x:c r="K167" s="37"/>
      <x:c r="L167" s="37"/>
      <x:c r="M167" s="37"/>
      <x:c r="N167" s="37"/>
    </x:row>
    <x:row r="168" ht="25" customHeight="1">
      <x:c r="A168" s="2" t="str">
        <x:v>下行</x:v>
      </x:c>
      <x:c r="B168" s="2"/>
      <x:c r="C168" s="10"/>
      <x:c r="D168" s="14" t="n">
        <x:v>0.06</x:v>
      </x:c>
      <x:c r="E168" s="14" t="n">
        <x:v>0.06</x:v>
      </x:c>
      <x:c r="F168" s="14" t="n">
        <x:v>0.06</x:v>
      </x:c>
      <x:c r="G168" s="14" t="n">
        <x:v>0.06</x:v>
      </x:c>
      <x:c r="H168" s="14" t="n">
        <x:v>0.06</x:v>
      </x:c>
      <x:c r="I168" s="2"/>
      <x:c r="J168" s="37"/>
      <x:c r="K168" s="37"/>
      <x:c r="L168" s="37"/>
      <x:c r="M168" s="37"/>
      <x:c r="N168" s="37"/>
    </x:row>
    <x:row r="169" ht="25" customHeight="1">
      <x:c r="A169" s="2" t="str">
        <x:v>基准</x:v>
      </x:c>
      <x:c r="B169" s="2"/>
      <x:c r="C169" s="10"/>
      <x:c r="D169" s="14" t="n">
        <x:v>0.08</x:v>
      </x:c>
      <x:c r="E169" s="14" t="n">
        <x:v>0.08</x:v>
      </x:c>
      <x:c r="F169" s="14" t="n">
        <x:v>0.08</x:v>
      </x:c>
      <x:c r="G169" s="14" t="n">
        <x:v>0.08</x:v>
      </x:c>
      <x:c r="H169" s="14" t="n">
        <x:v>0.08</x:v>
      </x:c>
      <x:c r="I169" s="2"/>
      <x:c r="J169" s="37"/>
      <x:c r="K169" s="37"/>
      <x:c r="L169" s="37"/>
      <x:c r="M169" s="37"/>
      <x:c r="N169" s="37"/>
    </x:row>
    <x:row r="170" ht="25" customHeight="1">
      <x:c r="A170" s="2" t="str">
        <x:v>上行</x:v>
      </x:c>
      <x:c r="B170" s="2"/>
      <x:c r="C170" s="10"/>
      <x:c r="D170" s="14" t="n">
        <x:v>0.1</x:v>
      </x:c>
      <x:c r="E170" s="14" t="n">
        <x:v>0.1</x:v>
      </x:c>
      <x:c r="F170" s="14" t="n">
        <x:v>0.1</x:v>
      </x:c>
      <x:c r="G170" s="14" t="n">
        <x:v>0.1</x:v>
      </x:c>
      <x:c r="H170" s="14" t="n">
        <x:v>0.1</x:v>
      </x:c>
      <x:c r="I170" s="2"/>
      <x:c r="J170" s="37"/>
      <x:c r="K170" s="37"/>
      <x:c r="L170" s="37"/>
      <x:c r="M170" s="37"/>
      <x:c r="N170" s="37"/>
    </x:row>
    <x:row r="171" ht="25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37"/>
      <x:c r="K171" s="37"/>
      <x:c r="L171" s="37"/>
      <x:c r="M171" s="37"/>
      <x:c r="N171" s="37"/>
    </x:row>
    <x:row r="172" ht="25" customHeight="1">
      <x:c r="A172" s="6" t="str">
        <x:v>明月 渐进销量指数增速 | Active</x:v>
      </x:c>
      <x:c r="B172" s="6"/>
      <x:c r="C172" s="24"/>
      <x:c r="D172" s="26" t="n">
        <x:f>CHOOSE(Summary!$B$3,D173,D174,D175)</x:f>
        <x:v>0.3</x:v>
      </x:c>
      <x:c r="E172" s="26" t="n">
        <x:f>CHOOSE(Summary!$B$3,E173,E174,E175)</x:f>
        <x:v>0.3</x:v>
      </x:c>
      <x:c r="F172" s="26" t="n">
        <x:f>CHOOSE(Summary!$B$3,F173,F174,F175)</x:f>
        <x:v>0.3</x:v>
      </x:c>
      <x:c r="G172" s="26" t="n">
        <x:f>CHOOSE(Summary!$B$3,G173,G174,G175)</x:f>
        <x:v>0.3</x:v>
      </x:c>
      <x:c r="H172" s="26" t="n">
        <x:f>CHOOSE(Summary!$B$3,H173,H174,H175)</x:f>
        <x:v>0.3</x:v>
      </x:c>
      <x:c r="I172" s="2"/>
      <x:c r="J172" s="37" t="str">
        <x:v>实际销量/ASP未单列；基期数量指数100</x:v>
      </x:c>
      <x:c r="K172" s="37"/>
      <x:c r="L172" s="37"/>
      <x:c r="M172" s="37"/>
      <x:c r="N172" s="37"/>
    </x:row>
    <x:row r="173" ht="25" customHeight="1">
      <x:c r="A173" s="2" t="str">
        <x:v>下行</x:v>
      </x:c>
      <x:c r="B173" s="2"/>
      <x:c r="C173" s="10"/>
      <x:c r="D173" s="14" t="n">
        <x:v>0.2</x:v>
      </x:c>
      <x:c r="E173" s="14" t="n">
        <x:v>0.2</x:v>
      </x:c>
      <x:c r="F173" s="14" t="n">
        <x:v>0.2</x:v>
      </x:c>
      <x:c r="G173" s="14" t="n">
        <x:v>0.2</x:v>
      </x:c>
      <x:c r="H173" s="14" t="n">
        <x:v>0.2</x:v>
      </x:c>
      <x:c r="I173" s="2"/>
      <x:c r="J173" s="37"/>
      <x:c r="K173" s="37"/>
      <x:c r="L173" s="37"/>
      <x:c r="M173" s="37"/>
      <x:c r="N173" s="37"/>
    </x:row>
    <x:row r="174" ht="25" customHeight="1">
      <x:c r="A174" s="2" t="str">
        <x:v>基准</x:v>
      </x:c>
      <x:c r="B174" s="2"/>
      <x:c r="C174" s="10"/>
      <x:c r="D174" s="14" t="n">
        <x:v>0.3</x:v>
      </x:c>
      <x:c r="E174" s="14" t="n">
        <x:v>0.3</x:v>
      </x:c>
      <x:c r="F174" s="14" t="n">
        <x:v>0.3</x:v>
      </x:c>
      <x:c r="G174" s="14" t="n">
        <x:v>0.3</x:v>
      </x:c>
      <x:c r="H174" s="14" t="n">
        <x:v>0.3</x:v>
      </x:c>
      <x:c r="I174" s="2"/>
      <x:c r="J174" s="37"/>
      <x:c r="K174" s="37"/>
      <x:c r="L174" s="37"/>
      <x:c r="M174" s="37"/>
      <x:c r="N174" s="37"/>
    </x:row>
    <x:row r="175" ht="25" customHeight="1">
      <x:c r="A175" s="2" t="str">
        <x:v>上行</x:v>
      </x:c>
      <x:c r="B175" s="2"/>
      <x:c r="C175" s="10"/>
      <x:c r="D175" s="14" t="n">
        <x:v>0.4</x:v>
      </x:c>
      <x:c r="E175" s="14" t="n">
        <x:v>0.4</x:v>
      </x:c>
      <x:c r="F175" s="14" t="n">
        <x:v>0.4</x:v>
      </x:c>
      <x:c r="G175" s="14" t="n">
        <x:v>0.4</x:v>
      </x:c>
      <x:c r="H175" s="14" t="n">
        <x:v>0.4</x:v>
      </x:c>
      <x:c r="I175" s="2"/>
      <x:c r="J175" s="37"/>
      <x:c r="K175" s="37"/>
      <x:c r="L175" s="37"/>
      <x:c r="M175" s="37"/>
      <x:c r="N175" s="37"/>
    </x:row>
    <x:row r="176" ht="25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37"/>
      <x:c r="K176" s="37"/>
      <x:c r="L176" s="37"/>
      <x:c r="M176" s="37"/>
      <x:c r="N176" s="37"/>
    </x:row>
    <x:row r="177" ht="25" customHeight="1">
      <x:c r="A177" s="6" t="str">
        <x:v>明月 渐进厂商价指数同比 | Active</x:v>
      </x:c>
      <x:c r="B177" s="6"/>
      <x:c r="C177" s="24"/>
      <x:c r="D177" s="26" t="n">
        <x:f>CHOOSE(Summary!$B$3,D178,D179,D180)</x:f>
        <x:v>0</x:v>
      </x:c>
      <x:c r="E177" s="26" t="n">
        <x:f>CHOOSE(Summary!$B$3,E178,E179,E180)</x:f>
        <x:v>0</x:v>
      </x:c>
      <x:c r="F177" s="26" t="n">
        <x:f>CHOOSE(Summary!$B$3,F178,F179,F180)</x:f>
        <x:v>0</x:v>
      </x:c>
      <x:c r="G177" s="26" t="n">
        <x:f>CHOOSE(Summary!$B$3,G178,G179,G180)</x:f>
        <x:v>0</x:v>
      </x:c>
      <x:c r="H177" s="26" t="n">
        <x:f>CHOOSE(Summary!$B$3,H178,H179,H180)</x:f>
        <x:v>0</x:v>
      </x:c>
      <x:c r="I177" s="2"/>
      <x:c r="J177" s="37"/>
      <x:c r="K177" s="37"/>
      <x:c r="L177" s="37"/>
      <x:c r="M177" s="37"/>
      <x:c r="N177" s="37"/>
    </x:row>
    <x:row r="178" ht="25" customHeight="1">
      <x:c r="A178" s="2" t="str">
        <x:v>下行</x:v>
      </x:c>
      <x:c r="B178" s="2"/>
      <x:c r="C178" s="10"/>
      <x:c r="D178" s="14" t="n">
        <x:v>-0.02</x:v>
      </x:c>
      <x:c r="E178" s="14" t="n">
        <x:v>-0.02</x:v>
      </x:c>
      <x:c r="F178" s="14" t="n">
        <x:v>-0.02</x:v>
      </x:c>
      <x:c r="G178" s="14" t="n">
        <x:v>-0.02</x:v>
      </x:c>
      <x:c r="H178" s="14" t="n">
        <x:v>-0.02</x:v>
      </x:c>
      <x:c r="I178" s="2"/>
      <x:c r="J178" s="37"/>
      <x:c r="K178" s="37"/>
      <x:c r="L178" s="37"/>
      <x:c r="M178" s="37"/>
      <x:c r="N178" s="37"/>
    </x:row>
    <x:row r="179" ht="25" customHeight="1">
      <x:c r="A179" s="2" t="str">
        <x:v>基准</x:v>
      </x:c>
      <x:c r="B179" s="2"/>
      <x:c r="C179" s="10"/>
      <x:c r="D179" s="14" t="n">
        <x:v>0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2"/>
      <x:c r="J179" s="37"/>
      <x:c r="K179" s="37"/>
      <x:c r="L179" s="37"/>
      <x:c r="M179" s="37"/>
      <x:c r="N179" s="37"/>
    </x:row>
    <x:row r="180" ht="25" customHeight="1">
      <x:c r="A180" s="2" t="str">
        <x:v>上行</x:v>
      </x:c>
      <x:c r="B180" s="2"/>
      <x:c r="C180" s="10"/>
      <x:c r="D180" s="14" t="n">
        <x:v>0.02</x:v>
      </x:c>
      <x:c r="E180" s="14" t="n">
        <x:v>0.02</x:v>
      </x:c>
      <x:c r="F180" s="14" t="n">
        <x:v>0.02</x:v>
      </x:c>
      <x:c r="G180" s="14" t="n">
        <x:v>0.02</x:v>
      </x:c>
      <x:c r="H180" s="14" t="n">
        <x:v>0.02</x:v>
      </x:c>
      <x:c r="I180" s="2"/>
      <x:c r="J180" s="37"/>
      <x:c r="K180" s="37"/>
      <x:c r="L180" s="37"/>
      <x:c r="M180" s="37"/>
      <x:c r="N180" s="37"/>
    </x:row>
    <x:row r="181" ht="25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37"/>
      <x:c r="K181" s="37"/>
      <x:c r="L181" s="37"/>
      <x:c r="M181" s="37"/>
      <x:c r="N181" s="37"/>
    </x:row>
    <x:row r="182" ht="25" customHeight="1">
      <x:c r="A182" s="6" t="str">
        <x:v>明月 渐进毛利率(未披露) | Active</x:v>
      </x:c>
      <x:c r="B182" s="6"/>
      <x:c r="C182" s="24"/>
      <x:c r="D182" s="26" t="n">
        <x:f>CHOOSE(Summary!$B$3,D183,D184,D185)</x:f>
        <x:v>0.65</x:v>
      </x:c>
      <x:c r="E182" s="26" t="n">
        <x:f>CHOOSE(Summary!$B$3,E183,E184,E185)</x:f>
        <x:v>0.65</x:v>
      </x:c>
      <x:c r="F182" s="26" t="n">
        <x:f>CHOOSE(Summary!$B$3,F183,F184,F185)</x:f>
        <x:v>0.65</x:v>
      </x:c>
      <x:c r="G182" s="26" t="n">
        <x:f>CHOOSE(Summary!$B$3,G183,G184,G185)</x:f>
        <x:v>0.65</x:v>
      </x:c>
      <x:c r="H182" s="26" t="n">
        <x:f>CHOOSE(Summary!$B$3,H183,H184,H185)</x:f>
        <x:v>0.65</x:v>
      </x:c>
      <x:c r="I182" s="2"/>
      <x:c r="J182" s="37"/>
      <x:c r="K182" s="37"/>
      <x:c r="L182" s="37"/>
      <x:c r="M182" s="37"/>
      <x:c r="N182" s="37"/>
    </x:row>
    <x:row r="183" ht="25" customHeight="1">
      <x:c r="A183" s="2" t="str">
        <x:v>下行</x:v>
      </x:c>
      <x:c r="B183" s="2"/>
      <x:c r="C183" s="10"/>
      <x:c r="D183" s="14" t="n">
        <x:v>0.55</x:v>
      </x:c>
      <x:c r="E183" s="14" t="n">
        <x:v>0.55</x:v>
      </x:c>
      <x:c r="F183" s="14" t="n">
        <x:v>0.55</x:v>
      </x:c>
      <x:c r="G183" s="14" t="n">
        <x:v>0.55</x:v>
      </x:c>
      <x:c r="H183" s="14" t="n">
        <x:v>0.55</x:v>
      </x:c>
      <x:c r="I183" s="2"/>
      <x:c r="J183" s="37"/>
      <x:c r="K183" s="37"/>
      <x:c r="L183" s="37"/>
      <x:c r="M183" s="37"/>
      <x:c r="N183" s="37"/>
    </x:row>
    <x:row r="184" ht="25" customHeight="1">
      <x:c r="A184" s="2" t="str">
        <x:v>基准</x:v>
      </x:c>
      <x:c r="B184" s="2"/>
      <x:c r="C184" s="10"/>
      <x:c r="D184" s="14" t="n">
        <x:v>0.65</x:v>
      </x:c>
      <x:c r="E184" s="14" t="n">
        <x:v>0.65</x:v>
      </x:c>
      <x:c r="F184" s="14" t="n">
        <x:v>0.65</x:v>
      </x:c>
      <x:c r="G184" s="14" t="n">
        <x:v>0.65</x:v>
      </x:c>
      <x:c r="H184" s="14" t="n">
        <x:v>0.65</x:v>
      </x:c>
      <x:c r="I184" s="2"/>
      <x:c r="J184" s="37"/>
      <x:c r="K184" s="37"/>
      <x:c r="L184" s="37"/>
      <x:c r="M184" s="37"/>
      <x:c r="N184" s="37"/>
    </x:row>
    <x:row r="185" ht="25" customHeight="1">
      <x:c r="A185" s="2" t="str">
        <x:v>上行</x:v>
      </x:c>
      <x:c r="B185" s="2"/>
      <x:c r="C185" s="10"/>
      <x:c r="D185" s="14" t="n">
        <x:v>0.7</x:v>
      </x:c>
      <x:c r="E185" s="14" t="n">
        <x:v>0.7</x:v>
      </x:c>
      <x:c r="F185" s="14" t="n">
        <x:v>0.7</x:v>
      </x:c>
      <x:c r="G185" s="14" t="n">
        <x:v>0.7</x:v>
      </x:c>
      <x:c r="H185" s="14" t="n">
        <x:v>0.7</x:v>
      </x:c>
      <x:c r="I185" s="2"/>
      <x:c r="J185" s="37"/>
      <x:c r="K185" s="37"/>
      <x:c r="L185" s="37"/>
      <x:c r="M185" s="37"/>
      <x:c r="N185" s="37"/>
    </x:row>
    <x:row r="186" ht="25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37"/>
      <x:c r="K186" s="37"/>
      <x:c r="L186" s="37"/>
      <x:c r="M186" s="37"/>
      <x:c r="N186" s="37"/>
    </x:row>
    <x:row r="187" ht="25" customHeight="1">
      <x:c r="A187" s="6" t="str">
        <x:v>明月 增量收入费用率 | Active</x:v>
      </x:c>
      <x:c r="B187" s="6"/>
      <x:c r="C187" s="24"/>
      <x:c r="D187" s="26" t="n">
        <x:f>CHOOSE(Summary!$B$3,D188,D189,D190)</x:f>
        <x:v>0.25</x:v>
      </x:c>
      <x:c r="E187" s="26" t="n">
        <x:f>CHOOSE(Summary!$B$3,E188,E189,E190)</x:f>
        <x:v>0.25</x:v>
      </x:c>
      <x:c r="F187" s="26" t="n">
        <x:f>CHOOSE(Summary!$B$3,F188,F189,F190)</x:f>
        <x:v>0.25</x:v>
      </x:c>
      <x:c r="G187" s="26" t="n">
        <x:f>CHOOSE(Summary!$B$3,G188,G189,G190)</x:f>
        <x:v>0.25</x:v>
      </x:c>
      <x:c r="H187" s="26" t="n">
        <x:f>CHOOSE(Summary!$B$3,H188,H189,H190)</x:f>
        <x:v>0.25</x:v>
      </x:c>
      <x:c r="I187" s="2"/>
      <x:c r="J187" s="37"/>
      <x:c r="K187" s="37"/>
      <x:c r="L187" s="37"/>
      <x:c r="M187" s="37"/>
      <x:c r="N187" s="37"/>
    </x:row>
    <x:row r="188" ht="25" customHeight="1">
      <x:c r="A188" s="2" t="str">
        <x:v>下行</x:v>
      </x:c>
      <x:c r="B188" s="2"/>
      <x:c r="C188" s="10"/>
      <x:c r="D188" s="14" t="n">
        <x:v>0.3</x:v>
      </x:c>
      <x:c r="E188" s="14" t="n">
        <x:v>0.3</x:v>
      </x:c>
      <x:c r="F188" s="14" t="n">
        <x:v>0.3</x:v>
      </x:c>
      <x:c r="G188" s="14" t="n">
        <x:v>0.3</x:v>
      </x:c>
      <x:c r="H188" s="14" t="n">
        <x:v>0.3</x:v>
      </x:c>
      <x:c r="I188" s="2"/>
      <x:c r="J188" s="37"/>
      <x:c r="K188" s="37"/>
      <x:c r="L188" s="37"/>
      <x:c r="M188" s="37"/>
      <x:c r="N188" s="37"/>
    </x:row>
    <x:row r="189" ht="25" customHeight="1">
      <x:c r="A189" s="2" t="str">
        <x:v>基准</x:v>
      </x:c>
      <x:c r="B189" s="2"/>
      <x:c r="C189" s="10"/>
      <x:c r="D189" s="14" t="n">
        <x:v>0.25</x:v>
      </x:c>
      <x:c r="E189" s="14" t="n">
        <x:v>0.25</x:v>
      </x:c>
      <x:c r="F189" s="14" t="n">
        <x:v>0.25</x:v>
      </x:c>
      <x:c r="G189" s="14" t="n">
        <x:v>0.25</x:v>
      </x:c>
      <x:c r="H189" s="14" t="n">
        <x:v>0.25</x:v>
      </x:c>
      <x:c r="I189" s="2"/>
      <x:c r="J189" s="37"/>
      <x:c r="K189" s="37"/>
      <x:c r="L189" s="37"/>
      <x:c r="M189" s="37"/>
      <x:c r="N189" s="37"/>
    </x:row>
    <x:row r="190" ht="25" customHeight="1">
      <x:c r="A190" s="2" t="str">
        <x:v>上行</x:v>
      </x:c>
      <x:c r="B190" s="2"/>
      <x:c r="C190" s="10"/>
      <x:c r="D190" s="14" t="n">
        <x:v>0.25</x:v>
      </x:c>
      <x:c r="E190" s="14" t="n">
        <x:v>0.25</x:v>
      </x:c>
      <x:c r="F190" s="14" t="n">
        <x:v>0.25</x:v>
      </x:c>
      <x:c r="G190" s="14" t="n">
        <x:v>0.25</x:v>
      </x:c>
      <x:c r="H190" s="14" t="n">
        <x:v>0.25</x:v>
      </x:c>
      <x:c r="I190" s="2"/>
      <x:c r="J190" s="37"/>
      <x:c r="K190" s="37"/>
      <x:c r="L190" s="37"/>
      <x:c r="M190" s="37"/>
      <x:c r="N190" s="37"/>
    </x:row>
    <x:row r="191" ht="25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37"/>
      <x:c r="K191" s="37"/>
      <x:c r="L191" s="37"/>
      <x:c r="M191" s="37"/>
      <x:c r="N191" s="37"/>
    </x:row>
    <x:row r="192" ht="25" customHeight="1">
      <x:c r="A192" s="6" t="str">
        <x:v>明月 其他收入增速 | Active</x:v>
      </x:c>
      <x:c r="B192" s="6"/>
      <x:c r="C192" s="24"/>
      <x:c r="D192" s="26" t="n">
        <x:f>CHOOSE(Summary!$B$3,D193,D194,D195)</x:f>
        <x:v>0.05</x:v>
      </x:c>
      <x:c r="E192" s="26" t="n">
        <x:f>CHOOSE(Summary!$B$3,E193,E194,E195)</x:f>
        <x:v>0.05</x:v>
      </x:c>
      <x:c r="F192" s="26" t="n">
        <x:f>CHOOSE(Summary!$B$3,F193,F194,F195)</x:f>
        <x:v>0.05</x:v>
      </x:c>
      <x:c r="G192" s="26" t="n">
        <x:f>CHOOSE(Summary!$B$3,G193,G194,G195)</x:f>
        <x:v>0.05</x:v>
      </x:c>
      <x:c r="H192" s="26" t="n">
        <x:f>CHOOSE(Summary!$B$3,H193,H194,H195)</x:f>
        <x:v>0.05</x:v>
      </x:c>
      <x:c r="I192" s="2"/>
      <x:c r="J192" s="37"/>
      <x:c r="K192" s="37"/>
      <x:c r="L192" s="37"/>
      <x:c r="M192" s="37"/>
      <x:c r="N192" s="37"/>
    </x:row>
    <x:row r="193" ht="25" customHeight="1">
      <x:c r="A193" s="2" t="str">
        <x:v>下行</x:v>
      </x:c>
      <x:c r="B193" s="2"/>
      <x:c r="C193" s="10"/>
      <x:c r="D193" s="14" t="n">
        <x:v>0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2"/>
      <x:c r="J193" s="37"/>
      <x:c r="K193" s="37"/>
      <x:c r="L193" s="37"/>
      <x:c r="M193" s="37"/>
      <x:c r="N193" s="37"/>
    </x:row>
    <x:row r="194" ht="25" customHeight="1">
      <x:c r="A194" s="2" t="str">
        <x:v>基准</x:v>
      </x:c>
      <x:c r="B194" s="2"/>
      <x:c r="C194" s="10"/>
      <x:c r="D194" s="14" t="n">
        <x:v>0.05</x:v>
      </x:c>
      <x:c r="E194" s="14" t="n">
        <x:v>0.05</x:v>
      </x:c>
      <x:c r="F194" s="14" t="n">
        <x:v>0.05</x:v>
      </x:c>
      <x:c r="G194" s="14" t="n">
        <x:v>0.05</x:v>
      </x:c>
      <x:c r="H194" s="14" t="n">
        <x:v>0.05</x:v>
      </x:c>
      <x:c r="I194" s="2"/>
      <x:c r="J194" s="37"/>
      <x:c r="K194" s="37"/>
      <x:c r="L194" s="37"/>
      <x:c r="M194" s="37"/>
      <x:c r="N194" s="37"/>
    </x:row>
    <x:row r="195" ht="25" customHeight="1">
      <x:c r="A195" s="2" t="str">
        <x:v>上行</x:v>
      </x:c>
      <x:c r="B195" s="2"/>
      <x:c r="C195" s="10"/>
      <x:c r="D195" s="14" t="n">
        <x:v>0.08</x:v>
      </x:c>
      <x:c r="E195" s="14" t="n">
        <x:v>0.08</x:v>
      </x:c>
      <x:c r="F195" s="14" t="n">
        <x:v>0.08</x:v>
      </x:c>
      <x:c r="G195" s="14" t="n">
        <x:v>0.08</x:v>
      </x:c>
      <x:c r="H195" s="14" t="n">
        <x:v>0.08</x:v>
      </x:c>
      <x:c r="I195" s="2"/>
      <x:c r="J195" s="37"/>
      <x:c r="K195" s="37"/>
      <x:c r="L195" s="37"/>
      <x:c r="M195" s="37"/>
      <x:c r="N195" s="37"/>
    </x:row>
    <x:row r="196" ht="25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37"/>
      <x:c r="K196" s="37"/>
      <x:c r="L196" s="37"/>
      <x:c r="M196" s="37"/>
      <x:c r="N196" s="37"/>
    </x:row>
    <x:row r="197" ht="25" customHeight="1">
      <x:c r="A197" s="6" t="str">
        <x:v>明月 其他增量净利率 | Active</x:v>
      </x:c>
      <x:c r="B197" s="6"/>
      <x:c r="C197" s="24"/>
      <x:c r="D197" s="26" t="n">
        <x:f>CHOOSE(Summary!$B$3,D198,D199,D200)</x:f>
        <x:v>0.2</x:v>
      </x:c>
      <x:c r="E197" s="26" t="n">
        <x:f>CHOOSE(Summary!$B$3,E198,E199,E200)</x:f>
        <x:v>0.2</x:v>
      </x:c>
      <x:c r="F197" s="26" t="n">
        <x:f>CHOOSE(Summary!$B$3,F198,F199,F200)</x:f>
        <x:v>0.2</x:v>
      </x:c>
      <x:c r="G197" s="26" t="n">
        <x:f>CHOOSE(Summary!$B$3,G198,G199,G200)</x:f>
        <x:v>0.2</x:v>
      </x:c>
      <x:c r="H197" s="26" t="n">
        <x:f>CHOOSE(Summary!$B$3,H198,H199,H200)</x:f>
        <x:v>0.2</x:v>
      </x:c>
      <x:c r="I197" s="2"/>
      <x:c r="J197" s="37"/>
      <x:c r="K197" s="37"/>
      <x:c r="L197" s="37"/>
      <x:c r="M197" s="37"/>
      <x:c r="N197" s="37"/>
    </x:row>
    <x:row r="198" ht="25" customHeight="1">
      <x:c r="A198" s="2" t="str">
        <x:v>下行</x:v>
      </x:c>
      <x:c r="B198" s="2"/>
      <x:c r="C198" s="10"/>
      <x:c r="D198" s="14" t="n">
        <x:v>0.15</x:v>
      </x:c>
      <x:c r="E198" s="14" t="n">
        <x:v>0.15</x:v>
      </x:c>
      <x:c r="F198" s="14" t="n">
        <x:v>0.15</x:v>
      </x:c>
      <x:c r="G198" s="14" t="n">
        <x:v>0.15</x:v>
      </x:c>
      <x:c r="H198" s="14" t="n">
        <x:v>0.15</x:v>
      </x:c>
      <x:c r="I198" s="2"/>
      <x:c r="J198" s="37"/>
      <x:c r="K198" s="37"/>
      <x:c r="L198" s="37"/>
      <x:c r="M198" s="37"/>
      <x:c r="N198" s="37"/>
    </x:row>
    <x:row r="199" ht="25" customHeight="1">
      <x:c r="A199" s="2" t="str">
        <x:v>基准</x:v>
      </x:c>
      <x:c r="B199" s="2"/>
      <x:c r="C199" s="10"/>
      <x:c r="D199" s="14" t="n">
        <x:v>0.2</x:v>
      </x:c>
      <x:c r="E199" s="14" t="n">
        <x:v>0.2</x:v>
      </x:c>
      <x:c r="F199" s="14" t="n">
        <x:v>0.2</x:v>
      </x:c>
      <x:c r="G199" s="14" t="n">
        <x:v>0.2</x:v>
      </x:c>
      <x:c r="H199" s="14" t="n">
        <x:v>0.2</x:v>
      </x:c>
      <x:c r="I199" s="2"/>
      <x:c r="J199" s="37"/>
      <x:c r="K199" s="37"/>
      <x:c r="L199" s="37"/>
      <x:c r="M199" s="37"/>
      <x:c r="N199" s="37"/>
    </x:row>
    <x:row r="200" ht="25" customHeight="1">
      <x:c r="A200" s="2" t="str">
        <x:v>上行</x:v>
      </x:c>
      <x:c r="B200" s="2"/>
      <x:c r="C200" s="10"/>
      <x:c r="D200" s="14" t="n">
        <x:v>0.23</x:v>
      </x:c>
      <x:c r="E200" s="14" t="n">
        <x:v>0.23</x:v>
      </x:c>
      <x:c r="F200" s="14" t="n">
        <x:v>0.23</x:v>
      </x:c>
      <x:c r="G200" s="14" t="n">
        <x:v>0.23</x:v>
      </x:c>
      <x:c r="H200" s="14" t="n">
        <x:v>0.23</x:v>
      </x:c>
      <x:c r="I200" s="2"/>
      <x:c r="J200" s="37"/>
      <x:c r="K200" s="37"/>
      <x:c r="L200" s="37"/>
      <x:c r="M200" s="37"/>
      <x:c r="N200" s="37"/>
    </x:row>
    <x:row r="201" ht="25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37"/>
      <x:c r="K201" s="37"/>
      <x:c r="L201" s="37"/>
      <x:c r="M201" s="37"/>
      <x:c r="N201" s="37"/>
    </x:row>
    <x:row r="202" ht="25" customHeight="1">
      <x:c r="A202" s="6" t="str">
        <x:v>瑞迈特 国内需求量指数增速 | Active</x:v>
      </x:c>
      <x:c r="B202" s="6"/>
      <x:c r="C202" s="24"/>
      <x:c r="D202" s="26" t="n">
        <x:f>CHOOSE(Summary!$B$3,D203,D204,D205)</x:f>
        <x:v>0.25</x:v>
      </x:c>
      <x:c r="E202" s="26" t="n">
        <x:f>CHOOSE(Summary!$B$3,E203,E204,E205)</x:f>
        <x:v>0.12</x:v>
      </x:c>
      <x:c r="F202" s="26" t="n">
        <x:f>CHOOSE(Summary!$B$3,F203,F204,F205)</x:f>
        <x:v>0.1</x:v>
      </x:c>
      <x:c r="G202" s="26" t="n">
        <x:f>CHOOSE(Summary!$B$3,G203,G204,G205)</x:f>
        <x:v>0.08</x:v>
      </x:c>
      <x:c r="H202" s="26" t="n">
        <x:f>CHOOSE(Summary!$B$3,H203,H204,H205)</x:f>
        <x:v>0.08</x:v>
      </x:c>
      <x:c r="I202" s="2"/>
      <x:c r="J202" s="37" t="str">
        <x:v>分析师条件假设；替代率非RCT缓解率</x:v>
      </x:c>
      <x:c r="K202" s="37"/>
      <x:c r="L202" s="37"/>
      <x:c r="M202" s="37"/>
      <x:c r="N202" s="37"/>
    </x:row>
    <x:row r="203" ht="25" customHeight="1">
      <x:c r="A203" s="2" t="str">
        <x:v>下行</x:v>
      </x:c>
      <x:c r="B203" s="2"/>
      <x:c r="C203" s="10"/>
      <x:c r="D203" s="14" t="n">
        <x:v>0.2</x:v>
      </x:c>
      <x:c r="E203" s="14" t="n">
        <x:v>0.07</x:v>
      </x:c>
      <x:c r="F203" s="14" t="n">
        <x:v>0.03</x:v>
      </x:c>
      <x:c r="G203" s="14" t="n">
        <x:v>0.02</x:v>
      </x:c>
      <x:c r="H203" s="14" t="n">
        <x:v>0.02</x:v>
      </x:c>
      <x:c r="I203" s="2"/>
      <x:c r="J203" s="37"/>
      <x:c r="K203" s="37"/>
      <x:c r="L203" s="37"/>
      <x:c r="M203" s="37"/>
      <x:c r="N203" s="37"/>
    </x:row>
    <x:row r="204" ht="25" customHeight="1">
      <x:c r="A204" s="2" t="str">
        <x:v>基准</x:v>
      </x:c>
      <x:c r="B204" s="2"/>
      <x:c r="C204" s="10"/>
      <x:c r="D204" s="14" t="n">
        <x:v>0.25</x:v>
      </x:c>
      <x:c r="E204" s="14" t="n">
        <x:v>0.12</x:v>
      </x:c>
      <x:c r="F204" s="14" t="n">
        <x:v>0.1</x:v>
      </x:c>
      <x:c r="G204" s="14" t="n">
        <x:v>0.08</x:v>
      </x:c>
      <x:c r="H204" s="14" t="n">
        <x:v>0.08</x:v>
      </x:c>
      <x:c r="I204" s="2"/>
      <x:c r="J204" s="37"/>
      <x:c r="K204" s="37"/>
      <x:c r="L204" s="37"/>
      <x:c r="M204" s="37"/>
      <x:c r="N204" s="37"/>
    </x:row>
    <x:row r="205" ht="25" customHeight="1">
      <x:c r="A205" s="2" t="str">
        <x:v>上行</x:v>
      </x:c>
      <x:c r="B205" s="2"/>
      <x:c r="C205" s="10"/>
      <x:c r="D205" s="14" t="n">
        <x:v>0.3</x:v>
      </x:c>
      <x:c r="E205" s="14" t="n">
        <x:v>0.18</x:v>
      </x:c>
      <x:c r="F205" s="14" t="n">
        <x:v>0.15</x:v>
      </x:c>
      <x:c r="G205" s="14" t="n">
        <x:v>0.12</x:v>
      </x:c>
      <x:c r="H205" s="14" t="n">
        <x:v>0.1</x:v>
      </x:c>
      <x:c r="I205" s="2"/>
      <x:c r="J205" s="37"/>
      <x:c r="K205" s="37"/>
      <x:c r="L205" s="37"/>
      <x:c r="M205" s="37"/>
      <x:c r="N205" s="37"/>
    </x:row>
    <x:row r="206" ht="25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37"/>
      <x:c r="K206" s="37"/>
      <x:c r="L206" s="37"/>
      <x:c r="M206" s="37"/>
      <x:c r="N206" s="37"/>
    </x:row>
    <x:row r="207" ht="25" customHeight="1">
      <x:c r="A207" s="6" t="str">
        <x:v>瑞迈特 海外需求量指数增速 | Active</x:v>
      </x:c>
      <x:c r="B207" s="6"/>
      <x:c r="C207" s="24"/>
      <x:c r="D207" s="26" t="n">
        <x:f>CHOOSE(Summary!$B$3,D208,D209,D210)</x:f>
        <x:v>0.25</x:v>
      </x:c>
      <x:c r="E207" s="26" t="n">
        <x:f>CHOOSE(Summary!$B$3,E208,E209,E210)</x:f>
        <x:v>0.15</x:v>
      </x:c>
      <x:c r="F207" s="26" t="n">
        <x:f>CHOOSE(Summary!$B$3,F208,F209,F210)</x:f>
        <x:v>0.12</x:v>
      </x:c>
      <x:c r="G207" s="26" t="n">
        <x:f>CHOOSE(Summary!$B$3,G208,G209,G210)</x:f>
        <x:v>0.1</x:v>
      </x:c>
      <x:c r="H207" s="26" t="n">
        <x:f>CHOOSE(Summary!$B$3,H208,H209,H210)</x:f>
        <x:v>0.08</x:v>
      </x:c>
      <x:c r="I207" s="2"/>
      <x:c r="J207" s="37" t="str">
        <x:v>分析师条件假设；替代率非RCT缓解率</x:v>
      </x:c>
      <x:c r="K207" s="37"/>
      <x:c r="L207" s="37"/>
      <x:c r="M207" s="37"/>
      <x:c r="N207" s="37"/>
    </x:row>
    <x:row r="208" ht="25" customHeight="1">
      <x:c r="A208" s="2" t="str">
        <x:v>下行</x:v>
      </x:c>
      <x:c r="B208" s="2"/>
      <x:c r="C208" s="10"/>
      <x:c r="D208" s="14" t="n">
        <x:v>0.15</x:v>
      </x:c>
      <x:c r="E208" s="14" t="n">
        <x:v>0.05</x:v>
      </x:c>
      <x:c r="F208" s="14" t="n">
        <x:v>0.02</x:v>
      </x:c>
      <x:c r="G208" s="14" t="n">
        <x:v>0</x:v>
      </x:c>
      <x:c r="H208" s="14" t="n">
        <x:v>0</x:v>
      </x:c>
      <x:c r="I208" s="2"/>
      <x:c r="J208" s="37"/>
      <x:c r="K208" s="37"/>
      <x:c r="L208" s="37"/>
      <x:c r="M208" s="37"/>
      <x:c r="N208" s="37"/>
    </x:row>
    <x:row r="209" ht="25" customHeight="1">
      <x:c r="A209" s="2" t="str">
        <x:v>基准</x:v>
      </x:c>
      <x:c r="B209" s="2"/>
      <x:c r="C209" s="10"/>
      <x:c r="D209" s="14" t="n">
        <x:v>0.25</x:v>
      </x:c>
      <x:c r="E209" s="14" t="n">
        <x:v>0.15</x:v>
      </x:c>
      <x:c r="F209" s="14" t="n">
        <x:v>0.12</x:v>
      </x:c>
      <x:c r="G209" s="14" t="n">
        <x:v>0.1</x:v>
      </x:c>
      <x:c r="H209" s="14" t="n">
        <x:v>0.08</x:v>
      </x:c>
      <x:c r="I209" s="2"/>
      <x:c r="J209" s="37"/>
      <x:c r="K209" s="37"/>
      <x:c r="L209" s="37"/>
      <x:c r="M209" s="37"/>
      <x:c r="N209" s="37"/>
    </x:row>
    <x:row r="210" ht="25" customHeight="1">
      <x:c r="A210" s="2" t="str">
        <x:v>上行</x:v>
      </x:c>
      <x:c r="B210" s="2"/>
      <x:c r="C210" s="10"/>
      <x:c r="D210" s="14" t="n">
        <x:v>0.3</x:v>
      </x:c>
      <x:c r="E210" s="14" t="n">
        <x:v>0.2</x:v>
      </x:c>
      <x:c r="F210" s="14" t="n">
        <x:v>0.16</x:v>
      </x:c>
      <x:c r="G210" s="14" t="n">
        <x:v>0.14</x:v>
      </x:c>
      <x:c r="H210" s="14" t="n">
        <x:v>0.12</x:v>
      </x:c>
      <x:c r="I210" s="2"/>
      <x:c r="J210" s="37"/>
      <x:c r="K210" s="37"/>
      <x:c r="L210" s="37"/>
      <x:c r="M210" s="37"/>
      <x:c r="N210" s="37"/>
    </x:row>
    <x:row r="211" ht="25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37"/>
      <x:c r="K211" s="37"/>
      <x:c r="L211" s="37"/>
      <x:c r="M211" s="37"/>
      <x:c r="N211" s="37"/>
    </x:row>
    <x:row r="212" ht="25" customHeight="1">
      <x:c r="A212" s="6" t="str">
        <x:v>瑞迈特 国内净价mix指数增速 | Active</x:v>
      </x:c>
      <x:c r="B212" s="6"/>
      <x:c r="C212" s="24"/>
      <x:c r="D212" s="26" t="n">
        <x:f>CHOOSE(Summary!$B$3,D213,D214,D215)</x:f>
        <x:v>0</x:v>
      </x:c>
      <x:c r="E212" s="26" t="n">
        <x:f>CHOOSE(Summary!$B$3,E213,E214,E215)</x:f>
        <x:v>0</x:v>
      </x:c>
      <x:c r="F212" s="26" t="n">
        <x:f>CHOOSE(Summary!$B$3,F213,F214,F215)</x:f>
        <x:v>0</x:v>
      </x:c>
      <x:c r="G212" s="26" t="n">
        <x:f>CHOOSE(Summary!$B$3,G213,G214,G215)</x:f>
        <x:v>0</x:v>
      </x:c>
      <x:c r="H212" s="26" t="n">
        <x:f>CHOOSE(Summary!$B$3,H213,H214,H215)</x:f>
        <x:v>0</x:v>
      </x:c>
      <x:c r="I212" s="2"/>
      <x:c r="J212" s="37" t="str">
        <x:v>分析师条件假设；替代率非RCT缓解率</x:v>
      </x:c>
      <x:c r="K212" s="37"/>
      <x:c r="L212" s="37"/>
      <x:c r="M212" s="37"/>
      <x:c r="N212" s="37"/>
    </x:row>
    <x:row r="213" ht="25" customHeight="1">
      <x:c r="A213" s="2" t="str">
        <x:v>下行</x:v>
      </x:c>
      <x:c r="B213" s="2"/>
      <x:c r="C213" s="10"/>
      <x:c r="D213" s="14" t="n">
        <x:v>-0.02</x:v>
      </x:c>
      <x:c r="E213" s="14" t="n">
        <x:v>-0.03</x:v>
      </x:c>
      <x:c r="F213" s="14" t="n">
        <x:v>-0.03</x:v>
      </x:c>
      <x:c r="G213" s="14" t="n">
        <x:v>-0.03</x:v>
      </x:c>
      <x:c r="H213" s="14" t="n">
        <x:v>-0.03</x:v>
      </x:c>
      <x:c r="I213" s="2"/>
      <x:c r="J213" s="37"/>
      <x:c r="K213" s="37"/>
      <x:c r="L213" s="37"/>
      <x:c r="M213" s="37"/>
      <x:c r="N213" s="37"/>
    </x:row>
    <x:row r="214" ht="25" customHeight="1">
      <x:c r="A214" s="2" t="str">
        <x:v>基准</x:v>
      </x:c>
      <x:c r="B214" s="2"/>
      <x:c r="C214" s="10"/>
      <x:c r="D214" s="14" t="n">
        <x:v>0</x:v>
      </x:c>
      <x:c r="E214" s="14" t="n">
        <x:v>0</x:v>
      </x:c>
      <x:c r="F214" s="14" t="n">
        <x:v>0</x:v>
      </x:c>
      <x:c r="G214" s="14" t="n">
        <x:v>0</x:v>
      </x:c>
      <x:c r="H214" s="14" t="n">
        <x:v>0</x:v>
      </x:c>
      <x:c r="I214" s="2"/>
      <x:c r="J214" s="37"/>
      <x:c r="K214" s="37"/>
      <x:c r="L214" s="37"/>
      <x:c r="M214" s="37"/>
      <x:c r="N214" s="37"/>
    </x:row>
    <x:row r="215" ht="25" customHeight="1">
      <x:c r="A215" s="2" t="str">
        <x:v>上行</x:v>
      </x:c>
      <x:c r="B215" s="2"/>
      <x:c r="C215" s="10"/>
      <x:c r="D215" s="14" t="n">
        <x:v>0.01</x:v>
      </x:c>
      <x:c r="E215" s="14" t="n">
        <x:v>0.01</x:v>
      </x:c>
      <x:c r="F215" s="14" t="n">
        <x:v>0</x:v>
      </x:c>
      <x:c r="G215" s="14" t="n">
        <x:v>0</x:v>
      </x:c>
      <x:c r="H215" s="14" t="n">
        <x:v>0</x:v>
      </x:c>
      <x:c r="I215" s="2"/>
      <x:c r="J215" s="37"/>
      <x:c r="K215" s="37"/>
      <x:c r="L215" s="37"/>
      <x:c r="M215" s="37"/>
      <x:c r="N215" s="37"/>
    </x:row>
    <x:row r="216" ht="25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37"/>
      <x:c r="K216" s="37"/>
      <x:c r="L216" s="37"/>
      <x:c r="M216" s="37"/>
      <x:c r="N216" s="37"/>
    </x:row>
    <x:row r="217" ht="25" customHeight="1">
      <x:c r="A217" s="6" t="str">
        <x:v>瑞迈特 海外净价mix指数增速 | Active</x:v>
      </x:c>
      <x:c r="B217" s="6"/>
      <x:c r="C217" s="24"/>
      <x:c r="D217" s="26" t="n">
        <x:f>CHOOSE(Summary!$B$3,D218,D219,D220)</x:f>
        <x:v>-0.02</x:v>
      </x:c>
      <x:c r="E217" s="26" t="n">
        <x:f>CHOOSE(Summary!$B$3,E218,E219,E220)</x:f>
        <x:v>-0.01</x:v>
      </x:c>
      <x:c r="F217" s="26" t="n">
        <x:f>CHOOSE(Summary!$B$3,F218,F219,F220)</x:f>
        <x:v>-0.01</x:v>
      </x:c>
      <x:c r="G217" s="26" t="n">
        <x:f>CHOOSE(Summary!$B$3,G218,G219,G220)</x:f>
        <x:v>-0.01</x:v>
      </x:c>
      <x:c r="H217" s="26" t="n">
        <x:f>CHOOSE(Summary!$B$3,H218,H219,H220)</x:f>
        <x:v>-0.01</x:v>
      </x:c>
      <x:c r="I217" s="2"/>
      <x:c r="J217" s="37" t="str">
        <x:v>分析师条件假设；替代率非RCT缓解率</x:v>
      </x:c>
      <x:c r="K217" s="37"/>
      <x:c r="L217" s="37"/>
      <x:c r="M217" s="37"/>
      <x:c r="N217" s="37"/>
    </x:row>
    <x:row r="218" ht="25" customHeight="1">
      <x:c r="A218" s="2" t="str">
        <x:v>下行</x:v>
      </x:c>
      <x:c r="B218" s="2"/>
      <x:c r="C218" s="10"/>
      <x:c r="D218" s="14" t="n">
        <x:v>-0.04</x:v>
      </x:c>
      <x:c r="E218" s="14" t="n">
        <x:v>-0.04</x:v>
      </x:c>
      <x:c r="F218" s="14" t="n">
        <x:v>-0.04</x:v>
      </x:c>
      <x:c r="G218" s="14" t="n">
        <x:v>-0.04</x:v>
      </x:c>
      <x:c r="H218" s="14" t="n">
        <x:v>-0.04</x:v>
      </x:c>
      <x:c r="I218" s="2"/>
      <x:c r="J218" s="37"/>
      <x:c r="K218" s="37"/>
      <x:c r="L218" s="37"/>
      <x:c r="M218" s="37"/>
      <x:c r="N218" s="37"/>
    </x:row>
    <x:row r="219" ht="25" customHeight="1">
      <x:c r="A219" s="2" t="str">
        <x:v>基准</x:v>
      </x:c>
      <x:c r="B219" s="2"/>
      <x:c r="C219" s="10"/>
      <x:c r="D219" s="14" t="n">
        <x:v>-0.02</x:v>
      </x:c>
      <x:c r="E219" s="14" t="n">
        <x:v>-0.01</x:v>
      </x:c>
      <x:c r="F219" s="14" t="n">
        <x:v>-0.01</x:v>
      </x:c>
      <x:c r="G219" s="14" t="n">
        <x:v>-0.01</x:v>
      </x:c>
      <x:c r="H219" s="14" t="n">
        <x:v>-0.01</x:v>
      </x:c>
      <x:c r="I219" s="2"/>
      <x:c r="J219" s="37"/>
      <x:c r="K219" s="37"/>
      <x:c r="L219" s="37"/>
      <x:c r="M219" s="37"/>
      <x:c r="N219" s="37"/>
    </x:row>
    <x:row r="220" ht="25" customHeight="1">
      <x:c r="A220" s="2" t="str">
        <x:v>上行</x:v>
      </x:c>
      <x:c r="B220" s="2"/>
      <x:c r="C220" s="10"/>
      <x:c r="D220" s="14" t="n">
        <x:v>0</x:v>
      </x:c>
      <x:c r="E220" s="14" t="n">
        <x:v>0</x:v>
      </x:c>
      <x:c r="F220" s="14" t="n">
        <x:v>0</x:v>
      </x:c>
      <x:c r="G220" s="14" t="n">
        <x:v>0</x:v>
      </x:c>
      <x:c r="H220" s="14" t="n">
        <x:v>0</x:v>
      </x:c>
      <x:c r="I220" s="2"/>
      <x:c r="J220" s="37"/>
      <x:c r="K220" s="37"/>
      <x:c r="L220" s="37"/>
      <x:c r="M220" s="37"/>
      <x:c r="N220" s="37"/>
    </x:row>
    <x:row r="221" ht="25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37"/>
      <x:c r="K221" s="37"/>
      <x:c r="L221" s="37"/>
      <x:c r="M221" s="37"/>
      <x:c r="N221" s="37"/>
    </x:row>
    <x:row r="222" ht="25" customHeight="1">
      <x:c r="A222" s="6" t="str">
        <x:v>瑞迈特 国内直营扩表倍数 | Active</x:v>
      </x:c>
      <x:c r="B222" s="6"/>
      <x:c r="C222" s="24"/>
      <x:c r="D222" s="25" t="n">
        <x:f>CHOOSE(Summary!$B$3,D223,D224,D225)</x:f>
        <x:v>1.2</x:v>
      </x:c>
      <x:c r="E222" s="25" t="n">
        <x:f>CHOOSE(Summary!$B$3,E223,E224,E225)</x:f>
        <x:v>1.2</x:v>
      </x:c>
      <x:c r="F222" s="25" t="n">
        <x:f>CHOOSE(Summary!$B$3,F223,F224,F225)</x:f>
        <x:v>1.2</x:v>
      </x:c>
      <x:c r="G222" s="25" t="n">
        <x:f>CHOOSE(Summary!$B$3,G223,G224,G225)</x:f>
        <x:v>1.2</x:v>
      </x:c>
      <x:c r="H222" s="25" t="n">
        <x:f>CHOOSE(Summary!$B$3,H223,H224,H225)</x:f>
        <x:v>1.2</x:v>
      </x:c>
      <x:c r="I222" s="2"/>
      <x:c r="J222" s="37" t="str">
        <x:v>分析师条件假设；替代率非RCT缓解率</x:v>
      </x:c>
      <x:c r="K222" s="37"/>
      <x:c r="L222" s="37"/>
      <x:c r="M222" s="37"/>
      <x:c r="N222" s="37"/>
    </x:row>
    <x:row r="223" ht="25" customHeight="1">
      <x:c r="A223" s="2" t="str">
        <x:v>下行</x:v>
      </x:c>
      <x:c r="B223" s="2"/>
      <x:c r="C223" s="10"/>
      <x:c r="D223" s="23" t="n">
        <x:v>1.2</x:v>
      </x:c>
      <x:c r="E223" s="23" t="n">
        <x:v>1.2</x:v>
      </x:c>
      <x:c r="F223" s="23" t="n">
        <x:v>1.2</x:v>
      </x:c>
      <x:c r="G223" s="23" t="n">
        <x:v>1.2</x:v>
      </x:c>
      <x:c r="H223" s="23" t="n">
        <x:v>1.2</x:v>
      </x:c>
      <x:c r="I223" s="2"/>
      <x:c r="J223" s="37"/>
      <x:c r="K223" s="37"/>
      <x:c r="L223" s="37"/>
      <x:c r="M223" s="37"/>
      <x:c r="N223" s="37"/>
    </x:row>
    <x:row r="224" ht="25" customHeight="1">
      <x:c r="A224" s="2" t="str">
        <x:v>基准</x:v>
      </x:c>
      <x:c r="B224" s="2"/>
      <x:c r="C224" s="10"/>
      <x:c r="D224" s="23" t="n">
        <x:v>1.2</x:v>
      </x:c>
      <x:c r="E224" s="23" t="n">
        <x:v>1.2</x:v>
      </x:c>
      <x:c r="F224" s="23" t="n">
        <x:v>1.2</x:v>
      </x:c>
      <x:c r="G224" s="23" t="n">
        <x:v>1.2</x:v>
      </x:c>
      <x:c r="H224" s="23" t="n">
        <x:v>1.2</x:v>
      </x:c>
      <x:c r="I224" s="2"/>
      <x:c r="J224" s="37"/>
      <x:c r="K224" s="37"/>
      <x:c r="L224" s="37"/>
      <x:c r="M224" s="37"/>
      <x:c r="N224" s="37"/>
    </x:row>
    <x:row r="225" ht="25" customHeight="1">
      <x:c r="A225" s="2" t="str">
        <x:v>上行</x:v>
      </x:c>
      <x:c r="B225" s="2"/>
      <x:c r="C225" s="10"/>
      <x:c r="D225" s="23" t="n">
        <x:v>1.2</x:v>
      </x:c>
      <x:c r="E225" s="23" t="n">
        <x:v>1.2</x:v>
      </x:c>
      <x:c r="F225" s="23" t="n">
        <x:v>1.2</x:v>
      </x:c>
      <x:c r="G225" s="23" t="n">
        <x:v>1.2</x:v>
      </x:c>
      <x:c r="H225" s="23" t="n">
        <x:v>1.2</x:v>
      </x:c>
      <x:c r="I225" s="2"/>
      <x:c r="J225" s="37"/>
      <x:c r="K225" s="37"/>
      <x:c r="L225" s="37"/>
      <x:c r="M225" s="37"/>
      <x:c r="N225" s="37"/>
    </x:row>
    <x:row r="226" ht="25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37"/>
      <x:c r="K226" s="37"/>
      <x:c r="L226" s="37"/>
      <x:c r="M226" s="37"/>
      <x:c r="N226" s="37"/>
    </x:row>
    <x:row r="227" ht="25" customHeight="1">
      <x:c r="A227" s="6" t="str">
        <x:v>瑞迈特 国内当年诊断拉动 | Active</x:v>
      </x:c>
      <x:c r="B227" s="6"/>
      <x:c r="C227" s="24"/>
      <x:c r="D227" s="26" t="n">
        <x:f>CHOOSE(Summary!$B$3,D228,D229,D230)</x:f>
        <x:v>0.02</x:v>
      </x:c>
      <x:c r="E227" s="26" t="n">
        <x:f>CHOOSE(Summary!$B$3,E228,E229,E230)</x:f>
        <x:v>0.02</x:v>
      </x:c>
      <x:c r="F227" s="26" t="n">
        <x:f>CHOOSE(Summary!$B$3,F228,F229,F230)</x:f>
        <x:v>0.01</x:v>
      </x:c>
      <x:c r="G227" s="26" t="n">
        <x:f>CHOOSE(Summary!$B$3,G228,G229,G230)</x:f>
        <x:v>0</x:v>
      </x:c>
      <x:c r="H227" s="26" t="n">
        <x:f>CHOOSE(Summary!$B$3,H228,H229,H230)</x:f>
        <x:v>0</x:v>
      </x:c>
      <x:c r="I227" s="2"/>
      <x:c r="J227" s="37" t="str">
        <x:v>分析师条件假设；替代率非RCT缓解率</x:v>
      </x:c>
      <x:c r="K227" s="37"/>
      <x:c r="L227" s="37"/>
      <x:c r="M227" s="37"/>
      <x:c r="N227" s="37"/>
    </x:row>
    <x:row r="228" ht="25" customHeight="1">
      <x:c r="A228" s="2" t="str">
        <x:v>下行</x:v>
      </x:c>
      <x:c r="B228" s="2"/>
      <x:c r="C228" s="10"/>
      <x:c r="D228" s="14" t="n">
        <x:v>0.02</x:v>
      </x:c>
      <x:c r="E228" s="14" t="n">
        <x:v>0.01</x:v>
      </x:c>
      <x:c r="F228" s="14" t="n">
        <x:v>0</x:v>
      </x:c>
      <x:c r="G228" s="14" t="n">
        <x:v>0</x:v>
      </x:c>
      <x:c r="H228" s="14" t="n">
        <x:v>0</x:v>
      </x:c>
      <x:c r="I228" s="2"/>
      <x:c r="J228" s="37"/>
      <x:c r="K228" s="37"/>
      <x:c r="L228" s="37"/>
      <x:c r="M228" s="37"/>
      <x:c r="N228" s="37"/>
    </x:row>
    <x:row r="229" ht="25" customHeight="1">
      <x:c r="A229" s="2" t="str">
        <x:v>基准</x:v>
      </x:c>
      <x:c r="B229" s="2"/>
      <x:c r="C229" s="10"/>
      <x:c r="D229" s="14" t="n">
        <x:v>0.02</x:v>
      </x:c>
      <x:c r="E229" s="14" t="n">
        <x:v>0.02</x:v>
      </x:c>
      <x:c r="F229" s="14" t="n">
        <x:v>0.01</x:v>
      </x:c>
      <x:c r="G229" s="14" t="n">
        <x:v>0</x:v>
      </x:c>
      <x:c r="H229" s="14" t="n">
        <x:v>0</x:v>
      </x:c>
      <x:c r="I229" s="2"/>
      <x:c r="J229" s="37"/>
      <x:c r="K229" s="37"/>
      <x:c r="L229" s="37"/>
      <x:c r="M229" s="37"/>
      <x:c r="N229" s="37"/>
    </x:row>
    <x:row r="230" ht="25" customHeight="1">
      <x:c r="A230" s="2" t="str">
        <x:v>上行</x:v>
      </x:c>
      <x:c r="B230" s="2"/>
      <x:c r="C230" s="10"/>
      <x:c r="D230" s="14" t="n">
        <x:v>0.03</x:v>
      </x:c>
      <x:c r="E230" s="14" t="n">
        <x:v>0.04</x:v>
      </x:c>
      <x:c r="F230" s="14" t="n">
        <x:v>0.03</x:v>
      </x:c>
      <x:c r="G230" s="14" t="n">
        <x:v>0.02</x:v>
      </x:c>
      <x:c r="H230" s="14" t="n">
        <x:v>0.01</x:v>
      </x:c>
      <x:c r="I230" s="2"/>
      <x:c r="J230" s="37"/>
      <x:c r="K230" s="37"/>
      <x:c r="L230" s="37"/>
      <x:c r="M230" s="37"/>
      <x:c r="N230" s="37"/>
    </x:row>
    <x:row r="231" ht="25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37"/>
      <x:c r="K231" s="37"/>
      <x:c r="L231" s="37"/>
      <x:c r="M231" s="37"/>
      <x:c r="N231" s="37"/>
    </x:row>
    <x:row r="232" ht="25" customHeight="1">
      <x:c r="A232" s="6" t="str">
        <x:v>瑞迈特 海外当年诊断拉动 | Active</x:v>
      </x:c>
      <x:c r="B232" s="6"/>
      <x:c r="C232" s="24"/>
      <x:c r="D232" s="26" t="n">
        <x:f>CHOOSE(Summary!$B$3,D233,D234,D235)</x:f>
        <x:v>0.025</x:v>
      </x:c>
      <x:c r="E232" s="26" t="n">
        <x:f>CHOOSE(Summary!$B$3,E233,E234,E235)</x:f>
        <x:v>0.02</x:v>
      </x:c>
      <x:c r="F232" s="26" t="n">
        <x:f>CHOOSE(Summary!$B$3,F233,F234,F235)</x:f>
        <x:v>0.01</x:v>
      </x:c>
      <x:c r="G232" s="26" t="n">
        <x:f>CHOOSE(Summary!$B$3,G233,G234,G235)</x:f>
        <x:v>0</x:v>
      </x:c>
      <x:c r="H232" s="26" t="n">
        <x:f>CHOOSE(Summary!$B$3,H233,H234,H235)</x:f>
        <x:v>0</x:v>
      </x:c>
      <x:c r="I232" s="2"/>
      <x:c r="J232" s="37" t="str">
        <x:v>分析师条件假设；替代率非RCT缓解率</x:v>
      </x:c>
      <x:c r="K232" s="37"/>
      <x:c r="L232" s="37"/>
      <x:c r="M232" s="37"/>
      <x:c r="N232" s="37"/>
    </x:row>
    <x:row r="233" ht="25" customHeight="1">
      <x:c r="A233" s="2" t="str">
        <x:v>下行</x:v>
      </x:c>
      <x:c r="B233" s="2"/>
      <x:c r="C233" s="10"/>
      <x:c r="D233" s="14" t="n">
        <x:v>0.025</x:v>
      </x:c>
      <x:c r="E233" s="14" t="n">
        <x:v>0.01</x:v>
      </x:c>
      <x:c r="F233" s="14" t="n">
        <x:v>0</x:v>
      </x:c>
      <x:c r="G233" s="14" t="n">
        <x:v>0</x:v>
      </x:c>
      <x:c r="H233" s="14" t="n">
        <x:v>0</x:v>
      </x:c>
      <x:c r="I233" s="2"/>
      <x:c r="J233" s="37"/>
      <x:c r="K233" s="37"/>
      <x:c r="L233" s="37"/>
      <x:c r="M233" s="37"/>
      <x:c r="N233" s="37"/>
    </x:row>
    <x:row r="234" ht="25" customHeight="1">
      <x:c r="A234" s="2" t="str">
        <x:v>基准</x:v>
      </x:c>
      <x:c r="B234" s="2"/>
      <x:c r="C234" s="10"/>
      <x:c r="D234" s="14" t="n">
        <x:v>0.025</x:v>
      </x:c>
      <x:c r="E234" s="14" t="n">
        <x:v>0.02</x:v>
      </x:c>
      <x:c r="F234" s="14" t="n">
        <x:v>0.01</x:v>
      </x:c>
      <x:c r="G234" s="14" t="n">
        <x:v>0</x:v>
      </x:c>
      <x:c r="H234" s="14" t="n">
        <x:v>0</x:v>
      </x:c>
      <x:c r="I234" s="2"/>
      <x:c r="J234" s="37"/>
      <x:c r="K234" s="37"/>
      <x:c r="L234" s="37"/>
      <x:c r="M234" s="37"/>
      <x:c r="N234" s="37"/>
    </x:row>
    <x:row r="235" ht="25" customHeight="1">
      <x:c r="A235" s="2" t="str">
        <x:v>上行</x:v>
      </x:c>
      <x:c r="B235" s="2"/>
      <x:c r="C235" s="10"/>
      <x:c r="D235" s="14" t="n">
        <x:v>0.04</x:v>
      </x:c>
      <x:c r="E235" s="14" t="n">
        <x:v>0.05</x:v>
      </x:c>
      <x:c r="F235" s="14" t="n">
        <x:v>0.04</x:v>
      </x:c>
      <x:c r="G235" s="14" t="n">
        <x:v>0.02</x:v>
      </x:c>
      <x:c r="H235" s="14" t="n">
        <x:v>0.01</x:v>
      </x:c>
      <x:c r="I235" s="2"/>
      <x:c r="J235" s="37"/>
      <x:c r="K235" s="37"/>
      <x:c r="L235" s="37"/>
      <x:c r="M235" s="37"/>
      <x:c r="N235" s="37"/>
    </x:row>
    <x:row r="236" ht="25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37"/>
      <x:c r="K236" s="37"/>
      <x:c r="L236" s="37"/>
      <x:c r="M236" s="37"/>
      <x:c r="N236" s="37"/>
    </x:row>
    <x:row r="237" ht="25" customHeight="1">
      <x:c r="A237" s="6" t="str">
        <x:v>瑞迈特 国内累计药物替代比例 | Active</x:v>
      </x:c>
      <x:c r="B237" s="6"/>
      <x:c r="C237" s="24"/>
      <x:c r="D237" s="26" t="n">
        <x:f>CHOOSE(Summary!$B$3,D238,D239,D240)</x:f>
        <x:v>0</x:v>
      </x:c>
      <x:c r="E237" s="26" t="n">
        <x:f>CHOOSE(Summary!$B$3,E238,E239,E240)</x:f>
        <x:v>0.002</x:v>
      </x:c>
      <x:c r="F237" s="26" t="n">
        <x:f>CHOOSE(Summary!$B$3,F238,F239,F240)</x:f>
        <x:v>0.005</x:v>
      </x:c>
      <x:c r="G237" s="26" t="n">
        <x:f>CHOOSE(Summary!$B$3,G238,G239,G240)</x:f>
        <x:v>0.01</x:v>
      </x:c>
      <x:c r="H237" s="26" t="n">
        <x:f>CHOOSE(Summary!$B$3,H238,H239,H240)</x:f>
        <x:v>0.02</x:v>
      </x:c>
      <x:c r="I237" s="2"/>
      <x:c r="J237" s="37" t="str">
        <x:v>分析师条件假设；替代率非RCT缓解率</x:v>
      </x:c>
      <x:c r="K237" s="37"/>
      <x:c r="L237" s="37"/>
      <x:c r="M237" s="37"/>
      <x:c r="N237" s="37"/>
    </x:row>
    <x:row r="238" ht="25" customHeight="1">
      <x:c r="A238" s="2" t="str">
        <x:v>下行</x:v>
      </x:c>
      <x:c r="B238" s="2"/>
      <x:c r="C238" s="10"/>
      <x:c r="D238" s="14" t="n">
        <x:v>0.005</x:v>
      </x:c>
      <x:c r="E238" s="14" t="n">
        <x:v>0.015</x:v>
      </x:c>
      <x:c r="F238" s="14" t="n">
        <x:v>0.035</x:v>
      </x:c>
      <x:c r="G238" s="14" t="n">
        <x:v>0.065</x:v>
      </x:c>
      <x:c r="H238" s="14" t="n">
        <x:v>0.1</x:v>
      </x:c>
      <x:c r="I238" s="2"/>
      <x:c r="J238" s="37"/>
      <x:c r="K238" s="37"/>
      <x:c r="L238" s="37"/>
      <x:c r="M238" s="37"/>
      <x:c r="N238" s="37"/>
    </x:row>
    <x:row r="239" ht="25" customHeight="1">
      <x:c r="A239" s="2" t="str">
        <x:v>基准</x:v>
      </x:c>
      <x:c r="B239" s="2"/>
      <x:c r="C239" s="10"/>
      <x:c r="D239" s="14" t="n">
        <x:v>0</x:v>
      </x:c>
      <x:c r="E239" s="14" t="n">
        <x:v>0.002</x:v>
      </x:c>
      <x:c r="F239" s="14" t="n">
        <x:v>0.005</x:v>
      </x:c>
      <x:c r="G239" s="14" t="n">
        <x:v>0.01</x:v>
      </x:c>
      <x:c r="H239" s="14" t="n">
        <x:v>0.02</x:v>
      </x:c>
      <x:c r="I239" s="2"/>
      <x:c r="J239" s="37"/>
      <x:c r="K239" s="37"/>
      <x:c r="L239" s="37"/>
      <x:c r="M239" s="37"/>
      <x:c r="N239" s="37"/>
    </x:row>
    <x:row r="240" ht="25" customHeight="1">
      <x:c r="A240" s="2" t="str">
        <x:v>上行</x:v>
      </x:c>
      <x:c r="B240" s="2"/>
      <x:c r="C240" s="10"/>
      <x:c r="D240" s="14" t="n">
        <x:v>0</x:v>
      </x:c>
      <x:c r="E240" s="14" t="n">
        <x:v>0.001</x:v>
      </x:c>
      <x:c r="F240" s="14" t="n">
        <x:v>0.003</x:v>
      </x:c>
      <x:c r="G240" s="14" t="n">
        <x:v>0.005</x:v>
      </x:c>
      <x:c r="H240" s="14" t="n">
        <x:v>0.01</x:v>
      </x:c>
      <x:c r="I240" s="2"/>
      <x:c r="J240" s="37"/>
      <x:c r="K240" s="37"/>
      <x:c r="L240" s="37"/>
      <x:c r="M240" s="37"/>
      <x:c r="N240" s="37"/>
    </x:row>
    <x:row r="241" ht="25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37"/>
      <x:c r="K241" s="37"/>
      <x:c r="L241" s="37"/>
      <x:c r="M241" s="37"/>
      <x:c r="N241" s="37"/>
    </x:row>
    <x:row r="242" ht="25" customHeight="1">
      <x:c r="A242" s="6" t="str">
        <x:v>瑞迈特 海外累计药物替代比例 | Active</x:v>
      </x:c>
      <x:c r="B242" s="6"/>
      <x:c r="C242" s="24"/>
      <x:c r="D242" s="26" t="n">
        <x:f>CHOOSE(Summary!$B$3,D243,D244,D245)</x:f>
        <x:v>0.005</x:v>
      </x:c>
      <x:c r="E242" s="26" t="n">
        <x:f>CHOOSE(Summary!$B$3,E243,E244,E245)</x:f>
        <x:v>0.015</x:v>
      </x:c>
      <x:c r="F242" s="26" t="n">
        <x:f>CHOOSE(Summary!$B$3,F243,F244,F245)</x:f>
        <x:v>0.03</x:v>
      </x:c>
      <x:c r="G242" s="26" t="n">
        <x:f>CHOOSE(Summary!$B$3,G243,G244,G245)</x:f>
        <x:v>0.05</x:v>
      </x:c>
      <x:c r="H242" s="26" t="n">
        <x:f>CHOOSE(Summary!$B$3,H243,H244,H245)</x:f>
        <x:v>0.075</x:v>
      </x:c>
      <x:c r="I242" s="2"/>
      <x:c r="J242" s="37" t="str">
        <x:v>分析师条件假设；替代率非RCT缓解率</x:v>
      </x:c>
      <x:c r="K242" s="37"/>
      <x:c r="L242" s="37"/>
      <x:c r="M242" s="37"/>
      <x:c r="N242" s="37"/>
    </x:row>
    <x:row r="243" ht="25" customHeight="1">
      <x:c r="A243" s="2" t="str">
        <x:v>下行</x:v>
      </x:c>
      <x:c r="B243" s="2"/>
      <x:c r="C243" s="10"/>
      <x:c r="D243" s="14" t="n">
        <x:v>0.01</x:v>
      </x:c>
      <x:c r="E243" s="14" t="n">
        <x:v>0.04</x:v>
      </x:c>
      <x:c r="F243" s="14" t="n">
        <x:v>0.09</x:v>
      </x:c>
      <x:c r="G243" s="14" t="n">
        <x:v>0.16</x:v>
      </x:c>
      <x:c r="H243" s="14" t="n">
        <x:v>0.25</x:v>
      </x:c>
      <x:c r="I243" s="2"/>
      <x:c r="J243" s="37"/>
      <x:c r="K243" s="37"/>
      <x:c r="L243" s="37"/>
      <x:c r="M243" s="37"/>
      <x:c r="N243" s="37"/>
    </x:row>
    <x:row r="244" ht="25" customHeight="1">
      <x:c r="A244" s="2" t="str">
        <x:v>基准</x:v>
      </x:c>
      <x:c r="B244" s="2"/>
      <x:c r="C244" s="10"/>
      <x:c r="D244" s="14" t="n">
        <x:v>0.005</x:v>
      </x:c>
      <x:c r="E244" s="14" t="n">
        <x:v>0.015</x:v>
      </x:c>
      <x:c r="F244" s="14" t="n">
        <x:v>0.03</x:v>
      </x:c>
      <x:c r="G244" s="14" t="n">
        <x:v>0.05</x:v>
      </x:c>
      <x:c r="H244" s="14" t="n">
        <x:v>0.075</x:v>
      </x:c>
      <x:c r="I244" s="2"/>
      <x:c r="J244" s="37"/>
      <x:c r="K244" s="37"/>
      <x:c r="L244" s="37"/>
      <x:c r="M244" s="37"/>
      <x:c r="N244" s="37"/>
    </x:row>
    <x:row r="245" ht="25" customHeight="1">
      <x:c r="A245" s="2" t="str">
        <x:v>上行</x:v>
      </x:c>
      <x:c r="B245" s="2"/>
      <x:c r="C245" s="10"/>
      <x:c r="D245" s="14" t="n">
        <x:v>0</x:v>
      </x:c>
      <x:c r="E245" s="14" t="n">
        <x:v>0.005</x:v>
      </x:c>
      <x:c r="F245" s="14" t="n">
        <x:v>0.01</x:v>
      </x:c>
      <x:c r="G245" s="14" t="n">
        <x:v>0.02</x:v>
      </x:c>
      <x:c r="H245" s="14" t="n">
        <x:v>0.03</x:v>
      </x:c>
      <x:c r="I245" s="2"/>
      <x:c r="J245" s="37"/>
      <x:c r="K245" s="37"/>
      <x:c r="L245" s="37"/>
      <x:c r="M245" s="37"/>
      <x:c r="N245" s="37"/>
    </x:row>
    <x:row r="246" ht="25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37"/>
      <x:c r="K246" s="37"/>
      <x:c r="L246" s="37"/>
      <x:c r="M246" s="37"/>
      <x:c r="N246" s="37"/>
    </x:row>
    <x:row r="247" ht="25" customHeight="1">
      <x:c r="A247" s="6" t="str">
        <x:v>瑞迈特 国内毛利率 | Active</x:v>
      </x:c>
      <x:c r="B247" s="6"/>
      <x:c r="C247" s="24"/>
      <x:c r="D247" s="26" t="n">
        <x:f>CHOOSE(Summary!$B$3,D248,D249,D250)</x:f>
        <x:v>0.62</x:v>
      </x:c>
      <x:c r="E247" s="26" t="n">
        <x:f>CHOOSE(Summary!$B$3,E248,E249,E250)</x:f>
        <x:v>0.615</x:v>
      </x:c>
      <x:c r="F247" s="26" t="n">
        <x:f>CHOOSE(Summary!$B$3,F248,F249,F250)</x:f>
        <x:v>0.61</x:v>
      </x:c>
      <x:c r="G247" s="26" t="n">
        <x:f>CHOOSE(Summary!$B$3,G248,G249,G250)</x:f>
        <x:v>0.61</x:v>
      </x:c>
      <x:c r="H247" s="26" t="n">
        <x:f>CHOOSE(Summary!$B$3,H248,H249,H250)</x:f>
        <x:v>0.61</x:v>
      </x:c>
      <x:c r="I247" s="2"/>
      <x:c r="J247" s="37" t="str">
        <x:v>分析师条件假设；替代率非RCT缓解率</x:v>
      </x:c>
      <x:c r="K247" s="37"/>
      <x:c r="L247" s="37"/>
      <x:c r="M247" s="37"/>
      <x:c r="N247" s="37"/>
    </x:row>
    <x:row r="248" ht="25" customHeight="1">
      <x:c r="A248" s="2" t="str">
        <x:v>下行</x:v>
      </x:c>
      <x:c r="B248" s="2"/>
      <x:c r="C248" s="10"/>
      <x:c r="D248" s="14" t="n">
        <x:v>0.6</x:v>
      </x:c>
      <x:c r="E248" s="14" t="n">
        <x:v>0.59</x:v>
      </x:c>
      <x:c r="F248" s="14" t="n">
        <x:v>0.58</x:v>
      </x:c>
      <x:c r="G248" s="14" t="n">
        <x:v>0.57</x:v>
      </x:c>
      <x:c r="H248" s="14" t="n">
        <x:v>0.56</x:v>
      </x:c>
      <x:c r="I248" s="2"/>
      <x:c r="J248" s="37"/>
      <x:c r="K248" s="37"/>
      <x:c r="L248" s="37"/>
      <x:c r="M248" s="37"/>
      <x:c r="N248" s="37"/>
    </x:row>
    <x:row r="249" ht="25" customHeight="1">
      <x:c r="A249" s="2" t="str">
        <x:v>基准</x:v>
      </x:c>
      <x:c r="B249" s="2"/>
      <x:c r="C249" s="10"/>
      <x:c r="D249" s="14" t="n">
        <x:v>0.62</x:v>
      </x:c>
      <x:c r="E249" s="14" t="n">
        <x:v>0.615</x:v>
      </x:c>
      <x:c r="F249" s="14" t="n">
        <x:v>0.61</x:v>
      </x:c>
      <x:c r="G249" s="14" t="n">
        <x:v>0.61</x:v>
      </x:c>
      <x:c r="H249" s="14" t="n">
        <x:v>0.61</x:v>
      </x:c>
      <x:c r="I249" s="2"/>
      <x:c r="J249" s="37"/>
      <x:c r="K249" s="37"/>
      <x:c r="L249" s="37"/>
      <x:c r="M249" s="37"/>
      <x:c r="N249" s="37"/>
    </x:row>
    <x:row r="250" ht="25" customHeight="1">
      <x:c r="A250" s="2" t="str">
        <x:v>上行</x:v>
      </x:c>
      <x:c r="B250" s="2"/>
      <x:c r="C250" s="10"/>
      <x:c r="D250" s="14" t="n">
        <x:v>0.63</x:v>
      </x:c>
      <x:c r="E250" s="14" t="n">
        <x:v>0.63</x:v>
      </x:c>
      <x:c r="F250" s="14" t="n">
        <x:v>0.63</x:v>
      </x:c>
      <x:c r="G250" s="14" t="n">
        <x:v>0.63</x:v>
      </x:c>
      <x:c r="H250" s="14" t="n">
        <x:v>0.63</x:v>
      </x:c>
      <x:c r="I250" s="2"/>
      <x:c r="J250" s="37"/>
      <x:c r="K250" s="37"/>
      <x:c r="L250" s="37"/>
      <x:c r="M250" s="37"/>
      <x:c r="N250" s="37"/>
    </x:row>
    <x:row r="251" ht="2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37"/>
      <x:c r="K251" s="37"/>
      <x:c r="L251" s="37"/>
      <x:c r="M251" s="37"/>
      <x:c r="N251" s="37"/>
    </x:row>
    <x:row r="252" ht="25" customHeight="1">
      <x:c r="A252" s="6" t="str">
        <x:v>瑞迈特 海外毛利率 | Active</x:v>
      </x:c>
      <x:c r="B252" s="6"/>
      <x:c r="C252" s="6"/>
      <x:c r="D252" s="26" t="n">
        <x:f>CHOOSE(Summary!$B$3,D253,D254,D255)</x:f>
        <x:v>0.47</x:v>
      </x:c>
      <x:c r="E252" s="26" t="n">
        <x:f>CHOOSE(Summary!$B$3,E253,E254,E255)</x:f>
        <x:v>0.475</x:v>
      </x:c>
      <x:c r="F252" s="26" t="n">
        <x:f>CHOOSE(Summary!$B$3,F253,F254,F255)</x:f>
        <x:v>0.48</x:v>
      </x:c>
      <x:c r="G252" s="26" t="n">
        <x:f>CHOOSE(Summary!$B$3,G253,G254,G255)</x:f>
        <x:v>0.48</x:v>
      </x:c>
      <x:c r="H252" s="26" t="n">
        <x:f>CHOOSE(Summary!$B$3,H253,H254,H255)</x:f>
        <x:v>0.48</x:v>
      </x:c>
      <x:c r="I252" s="2"/>
      <x:c r="J252" s="37" t="str">
        <x:v>分析师条件假设；替代率非RCT缓解率</x:v>
      </x:c>
      <x:c r="K252" s="37"/>
      <x:c r="L252" s="37"/>
      <x:c r="M252" s="37"/>
      <x:c r="N252" s="37"/>
    </x:row>
    <x:row r="253" ht="25" customHeight="1">
      <x:c r="A253" s="2" t="str">
        <x:v>下行</x:v>
      </x:c>
      <x:c r="B253" s="2"/>
      <x:c r="C253" s="2"/>
      <x:c r="D253" s="14" t="n">
        <x:v>0.46</x:v>
      </x:c>
      <x:c r="E253" s="14" t="n">
        <x:v>0.45</x:v>
      </x:c>
      <x:c r="F253" s="14" t="n">
        <x:v>0.44</x:v>
      </x:c>
      <x:c r="G253" s="14" t="n">
        <x:v>0.43</x:v>
      </x:c>
      <x:c r="H253" s="14" t="n">
        <x:v>0.42</x:v>
      </x:c>
      <x:c r="I253" s="2"/>
      <x:c r="J253" s="37"/>
      <x:c r="K253" s="37"/>
      <x:c r="L253" s="37"/>
      <x:c r="M253" s="37"/>
      <x:c r="N253" s="37"/>
    </x:row>
    <x:row r="254" ht="25" customHeight="1">
      <x:c r="A254" s="2" t="str">
        <x:v>基准</x:v>
      </x:c>
      <x:c r="B254" s="2"/>
      <x:c r="C254" s="2"/>
      <x:c r="D254" s="14" t="n">
        <x:v>0.47</x:v>
      </x:c>
      <x:c r="E254" s="14" t="n">
        <x:v>0.475</x:v>
      </x:c>
      <x:c r="F254" s="14" t="n">
        <x:v>0.48</x:v>
      </x:c>
      <x:c r="G254" s="14" t="n">
        <x:v>0.48</x:v>
      </x:c>
      <x:c r="H254" s="14" t="n">
        <x:v>0.48</x:v>
      </x:c>
      <x:c r="I254" s="2"/>
      <x:c r="J254" s="37"/>
      <x:c r="K254" s="37"/>
      <x:c r="L254" s="37"/>
      <x:c r="M254" s="37"/>
      <x:c r="N254" s="37"/>
    </x:row>
    <x:row r="255" ht="25" customHeight="1">
      <x:c r="A255" s="2" t="str">
        <x:v>上行</x:v>
      </x:c>
      <x:c r="B255" s="2"/>
      <x:c r="C255" s="2"/>
      <x:c r="D255" s="14" t="n">
        <x:v>0.49</x:v>
      </x:c>
      <x:c r="E255" s="14" t="n">
        <x:v>0.5</x:v>
      </x:c>
      <x:c r="F255" s="14" t="n">
        <x:v>0.5</x:v>
      </x:c>
      <x:c r="G255" s="14" t="n">
        <x:v>0.51</x:v>
      </x:c>
      <x:c r="H255" s="14" t="n">
        <x:v>0.51</x:v>
      </x:c>
      <x:c r="I255" s="2"/>
      <x:c r="J255" s="37"/>
      <x:c r="K255" s="37"/>
      <x:c r="L255" s="37"/>
      <x:c r="M255" s="37"/>
      <x:c r="N255" s="37"/>
    </x:row>
    <x:row r="256" ht="2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37"/>
      <x:c r="K256" s="37"/>
      <x:c r="L256" s="37"/>
      <x:c r="M256" s="37"/>
      <x:c r="N256" s="37"/>
    </x:row>
    <x:row r="257" ht="25" customHeight="1">
      <x:c r="A257" s="6" t="str">
        <x:v>瑞迈特 销售费用率 | Active</x:v>
      </x:c>
      <x:c r="B257" s="6"/>
      <x:c r="C257" s="6"/>
      <x:c r="D257" s="26" t="n">
        <x:f>CHOOSE(Summary!$B$3,D258,D259,D260)</x:f>
        <x:v>0.18</x:v>
      </x:c>
      <x:c r="E257" s="26" t="n">
        <x:f>CHOOSE(Summary!$B$3,E258,E259,E260)</x:f>
        <x:v>0.18</x:v>
      </x:c>
      <x:c r="F257" s="26" t="n">
        <x:f>CHOOSE(Summary!$B$3,F258,F259,F260)</x:f>
        <x:v>0.175</x:v>
      </x:c>
      <x:c r="G257" s="26" t="n">
        <x:f>CHOOSE(Summary!$B$3,G258,G259,G260)</x:f>
        <x:v>0.17</x:v>
      </x:c>
      <x:c r="H257" s="26" t="n">
        <x:f>CHOOSE(Summary!$B$3,H258,H259,H260)</x:f>
        <x:v>0.17</x:v>
      </x:c>
      <x:c r="I257" s="2"/>
      <x:c r="J257" s="37" t="str">
        <x:v>分析师条件假设；替代率非RCT缓解率</x:v>
      </x:c>
      <x:c r="K257" s="37"/>
      <x:c r="L257" s="37"/>
      <x:c r="M257" s="37"/>
      <x:c r="N257" s="37"/>
    </x:row>
    <x:row r="258" ht="25" customHeight="1">
      <x:c r="A258" s="2" t="str">
        <x:v>下行</x:v>
      </x:c>
      <x:c r="B258" s="2"/>
      <x:c r="C258" s="2"/>
      <x:c r="D258" s="14" t="n">
        <x:v>0.2</x:v>
      </x:c>
      <x:c r="E258" s="14" t="n">
        <x:v>0.2</x:v>
      </x:c>
      <x:c r="F258" s="14" t="n">
        <x:v>0.2</x:v>
      </x:c>
      <x:c r="G258" s="14" t="n">
        <x:v>0.2</x:v>
      </x:c>
      <x:c r="H258" s="14" t="n">
        <x:v>0.2</x:v>
      </x:c>
      <x:c r="I258" s="2"/>
      <x:c r="J258" s="37"/>
      <x:c r="K258" s="37"/>
      <x:c r="L258" s="37"/>
      <x:c r="M258" s="37"/>
      <x:c r="N258" s="37"/>
    </x:row>
    <x:row r="259" ht="25" customHeight="1">
      <x:c r="A259" s="2" t="str">
        <x:v>基准</x:v>
      </x:c>
      <x:c r="B259" s="2"/>
      <x:c r="C259" s="2"/>
      <x:c r="D259" s="14" t="n">
        <x:v>0.18</x:v>
      </x:c>
      <x:c r="E259" s="14" t="n">
        <x:v>0.18</x:v>
      </x:c>
      <x:c r="F259" s="14" t="n">
        <x:v>0.175</x:v>
      </x:c>
      <x:c r="G259" s="14" t="n">
        <x:v>0.17</x:v>
      </x:c>
      <x:c r="H259" s="14" t="n">
        <x:v>0.17</x:v>
      </x:c>
      <x:c r="I259" s="2"/>
      <x:c r="J259" s="37"/>
      <x:c r="K259" s="37"/>
      <x:c r="L259" s="37"/>
      <x:c r="M259" s="37"/>
      <x:c r="N259" s="37"/>
    </x:row>
    <x:row r="260" ht="25" customHeight="1">
      <x:c r="A260" s="2" t="str">
        <x:v>上行</x:v>
      </x:c>
      <x:c r="B260" s="2"/>
      <x:c r="C260" s="2"/>
      <x:c r="D260" s="14" t="n">
        <x:v>0.17</x:v>
      </x:c>
      <x:c r="E260" s="14" t="n">
        <x:v>0.165</x:v>
      </x:c>
      <x:c r="F260" s="14" t="n">
        <x:v>0.16</x:v>
      </x:c>
      <x:c r="G260" s="14" t="n">
        <x:v>0.155</x:v>
      </x:c>
      <x:c r="H260" s="14" t="n">
        <x:v>0.15</x:v>
      </x:c>
      <x:c r="I260" s="2"/>
      <x:c r="J260" s="37"/>
      <x:c r="K260" s="37"/>
      <x:c r="L260" s="37"/>
      <x:c r="M260" s="37"/>
      <x:c r="N260" s="37"/>
    </x:row>
    <x:row r="261" ht="2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37"/>
      <x:c r="K261" s="37"/>
      <x:c r="L261" s="37"/>
      <x:c r="M261" s="37"/>
      <x:c r="N261" s="37"/>
    </x:row>
    <x:row r="262" ht="25" customHeight="1">
      <x:c r="A262" s="6" t="str">
        <x:v>瑞迈特 管理研发费用增速 | Active</x:v>
      </x:c>
      <x:c r="B262" s="6"/>
      <x:c r="C262" s="6"/>
      <x:c r="D262" s="26" t="n">
        <x:f>CHOOSE(Summary!$B$3,D263,D264,D265)</x:f>
        <x:v>0.08</x:v>
      </x:c>
      <x:c r="E262" s="26" t="n">
        <x:f>CHOOSE(Summary!$B$3,E263,E264,E265)</x:f>
        <x:v>0.08</x:v>
      </x:c>
      <x:c r="F262" s="26" t="n">
        <x:f>CHOOSE(Summary!$B$3,F263,F264,F265)</x:f>
        <x:v>0.08</x:v>
      </x:c>
      <x:c r="G262" s="26" t="n">
        <x:f>CHOOSE(Summary!$B$3,G263,G264,G265)</x:f>
        <x:v>0.08</x:v>
      </x:c>
      <x:c r="H262" s="26" t="n">
        <x:f>CHOOSE(Summary!$B$3,H263,H264,H265)</x:f>
        <x:v>0.08</x:v>
      </x:c>
      <x:c r="I262" s="2"/>
      <x:c r="J262" s="37" t="str">
        <x:v>分析师条件假设；替代率非RCT缓解率</x:v>
      </x:c>
      <x:c r="K262" s="37"/>
      <x:c r="L262" s="37"/>
      <x:c r="M262" s="37"/>
      <x:c r="N262" s="37"/>
    </x:row>
    <x:row r="263" ht="25" customHeight="1">
      <x:c r="A263" s="2" t="str">
        <x:v>下行</x:v>
      </x:c>
      <x:c r="B263" s="2"/>
      <x:c r="C263" s="2"/>
      <x:c r="D263" s="14" t="n">
        <x:v>0.05</x:v>
      </x:c>
      <x:c r="E263" s="14" t="n">
        <x:v>0.05</x:v>
      </x:c>
      <x:c r="F263" s="14" t="n">
        <x:v>0.05</x:v>
      </x:c>
      <x:c r="G263" s="14" t="n">
        <x:v>0.05</x:v>
      </x:c>
      <x:c r="H263" s="14" t="n">
        <x:v>0.05</x:v>
      </x:c>
      <x:c r="I263" s="2"/>
      <x:c r="J263" s="37"/>
      <x:c r="K263" s="37"/>
      <x:c r="L263" s="37"/>
      <x:c r="M263" s="37"/>
      <x:c r="N263" s="37"/>
    </x:row>
    <x:row r="264" ht="25" customHeight="1">
      <x:c r="A264" s="2" t="str">
        <x:v>基准</x:v>
      </x:c>
      <x:c r="B264" s="2"/>
      <x:c r="C264" s="2"/>
      <x:c r="D264" s="14" t="n">
        <x:v>0.08</x:v>
      </x:c>
      <x:c r="E264" s="14" t="n">
        <x:v>0.08</x:v>
      </x:c>
      <x:c r="F264" s="14" t="n">
        <x:v>0.08</x:v>
      </x:c>
      <x:c r="G264" s="14" t="n">
        <x:v>0.08</x:v>
      </x:c>
      <x:c r="H264" s="14" t="n">
        <x:v>0.08</x:v>
      </x:c>
      <x:c r="I264" s="2"/>
      <x:c r="J264" s="37"/>
      <x:c r="K264" s="37"/>
      <x:c r="L264" s="37"/>
      <x:c r="M264" s="37"/>
      <x:c r="N264" s="37"/>
    </x:row>
    <x:row r="265" ht="25" customHeight="1">
      <x:c r="A265" s="2" t="str">
        <x:v>上行</x:v>
      </x:c>
      <x:c r="B265" s="2"/>
      <x:c r="C265" s="2"/>
      <x:c r="D265" s="14" t="n">
        <x:v>0.08</x:v>
      </x:c>
      <x:c r="E265" s="14" t="n">
        <x:v>0.08</x:v>
      </x:c>
      <x:c r="F265" s="14" t="n">
        <x:v>0.08</x:v>
      </x:c>
      <x:c r="G265" s="14" t="n">
        <x:v>0.08</x:v>
      </x:c>
      <x:c r="H265" s="14" t="n">
        <x:v>0.08</x:v>
      </x:c>
      <x:c r="I265" s="2"/>
      <x:c r="J265" s="37"/>
      <x:c r="K265" s="37"/>
      <x:c r="L265" s="37"/>
      <x:c r="M265" s="37"/>
      <x:c r="N265" s="37"/>
    </x:row>
    <x:row r="266" ht="2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37"/>
      <x:c r="K266" s="37"/>
      <x:c r="L266" s="37"/>
      <x:c r="M266" s="37"/>
      <x:c r="N266" s="37"/>
    </x:row>
    <x:row r="267" ht="25" customHeight="1">
      <x:c r="A267" s="6" t="str">
        <x:v>美好 呼吸需求量指数增速 | Active</x:v>
      </x:c>
      <x:c r="B267" s="6"/>
      <x:c r="C267" s="6"/>
      <x:c r="D267" s="26" t="n">
        <x:f>CHOOSE(Summary!$B$3,D268,D269,D270)</x:f>
        <x:v>0.1</x:v>
      </x:c>
      <x:c r="E267" s="26" t="n">
        <x:f>CHOOSE(Summary!$B$3,E268,E269,E270)</x:f>
        <x:v>0.1</x:v>
      </x:c>
      <x:c r="F267" s="26" t="n">
        <x:f>CHOOSE(Summary!$B$3,F268,F269,F270)</x:f>
        <x:v>0.1</x:v>
      </x:c>
      <x:c r="G267" s="26" t="n">
        <x:f>CHOOSE(Summary!$B$3,G268,G269,G270)</x:f>
        <x:v>0.08</x:v>
      </x:c>
      <x:c r="H267" s="26" t="n">
        <x:f>CHOOSE(Summary!$B$3,H268,H269,H270)</x:f>
        <x:v>0.08</x:v>
      </x:c>
      <x:c r="I267" s="2"/>
      <x:c r="J267" s="37" t="str">
        <x:v>全球供应链，非中国OOP</x:v>
      </x:c>
      <x:c r="K267" s="37"/>
      <x:c r="L267" s="37"/>
      <x:c r="M267" s="37"/>
      <x:c r="N267" s="37"/>
    </x:row>
    <x:row r="268" ht="25" customHeight="1">
      <x:c r="A268" s="2" t="str">
        <x:v>下行</x:v>
      </x:c>
      <x:c r="B268" s="2"/>
      <x:c r="C268" s="2"/>
      <x:c r="D268" s="14" t="n">
        <x:v>0</x:v>
      </x:c>
      <x:c r="E268" s="14" t="n">
        <x:v>-0.05</x:v>
      </x:c>
      <x:c r="F268" s="14" t="n">
        <x:v>-0.08</x:v>
      </x:c>
      <x:c r="G268" s="14" t="n">
        <x:v>-0.1</x:v>
      </x:c>
      <x:c r="H268" s="14" t="n">
        <x:v>-0.1</x:v>
      </x:c>
      <x:c r="I268" s="2"/>
      <x:c r="J268" s="37"/>
      <x:c r="K268" s="37"/>
      <x:c r="L268" s="37"/>
      <x:c r="M268" s="37"/>
      <x:c r="N268" s="37"/>
    </x:row>
    <x:row r="269" ht="25" customHeight="1">
      <x:c r="A269" s="2" t="str">
        <x:v>基准</x:v>
      </x:c>
      <x:c r="B269" s="2"/>
      <x:c r="C269" s="2"/>
      <x:c r="D269" s="14" t="n">
        <x:v>0.1</x:v>
      </x:c>
      <x:c r="E269" s="14" t="n">
        <x:v>0.1</x:v>
      </x:c>
      <x:c r="F269" s="14" t="n">
        <x:v>0.1</x:v>
      </x:c>
      <x:c r="G269" s="14" t="n">
        <x:v>0.08</x:v>
      </x:c>
      <x:c r="H269" s="14" t="n">
        <x:v>0.08</x:v>
      </x:c>
      <x:c r="I269" s="2"/>
      <x:c r="J269" s="37"/>
      <x:c r="K269" s="37"/>
      <x:c r="L269" s="37"/>
      <x:c r="M269" s="37"/>
      <x:c r="N269" s="37"/>
    </x:row>
    <x:row r="270" ht="25" customHeight="1">
      <x:c r="A270" s="2" t="str">
        <x:v>上行</x:v>
      </x:c>
      <x:c r="B270" s="2"/>
      <x:c r="C270" s="2"/>
      <x:c r="D270" s="14" t="n">
        <x:v>0.18</x:v>
      </x:c>
      <x:c r="E270" s="14" t="n">
        <x:v>0.18</x:v>
      </x:c>
      <x:c r="F270" s="14" t="n">
        <x:v>0.15</x:v>
      </x:c>
      <x:c r="G270" s="14" t="n">
        <x:v>0.12</x:v>
      </x:c>
      <x:c r="H270" s="14" t="n">
        <x:v>0.1</x:v>
      </x:c>
      <x:c r="I270" s="2"/>
      <x:c r="J270" s="37"/>
      <x:c r="K270" s="37"/>
      <x:c r="L270" s="37"/>
      <x:c r="M270" s="37"/>
      <x:c r="N270" s="37"/>
    </x:row>
    <x:row r="271" ht="2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37"/>
      <x:c r="K271" s="37"/>
      <x:c r="L271" s="37"/>
      <x:c r="M271" s="37"/>
      <x:c r="N271" s="37"/>
    </x:row>
    <x:row r="272" ht="25" customHeight="1">
      <x:c r="A272" s="6" t="str">
        <x:v>美好 其他收入增速 | Active</x:v>
      </x:c>
      <x:c r="B272" s="6"/>
      <x:c r="C272" s="6"/>
      <x:c r="D272" s="26" t="n">
        <x:f>CHOOSE(Summary!$B$3,D273,D274,D275)</x:f>
        <x:v>0.15</x:v>
      </x:c>
      <x:c r="E272" s="26" t="n">
        <x:f>CHOOSE(Summary!$B$3,E273,E274,E275)</x:f>
        <x:v>0.15</x:v>
      </x:c>
      <x:c r="F272" s="26" t="n">
        <x:f>CHOOSE(Summary!$B$3,F273,F274,F275)</x:f>
        <x:v>0.12</x:v>
      </x:c>
      <x:c r="G272" s="26" t="n">
        <x:f>CHOOSE(Summary!$B$3,G273,G274,G275)</x:f>
        <x:v>0.1</x:v>
      </x:c>
      <x:c r="H272" s="26" t="n">
        <x:f>CHOOSE(Summary!$B$3,H273,H274,H275)</x:f>
        <x:v>0.1</x:v>
      </x:c>
      <x:c r="I272" s="2"/>
      <x:c r="J272" s="37" t="str">
        <x:v>全球供应链，非中国OOP</x:v>
      </x:c>
      <x:c r="K272" s="37"/>
      <x:c r="L272" s="37"/>
      <x:c r="M272" s="37"/>
      <x:c r="N272" s="37"/>
    </x:row>
    <x:row r="273" ht="25" customHeight="1">
      <x:c r="A273" s="2" t="str">
        <x:v>下行</x:v>
      </x:c>
      <x:c r="B273" s="2"/>
      <x:c r="C273" s="2"/>
      <x:c r="D273" s="14" t="n">
        <x:v>0.05</x:v>
      </x:c>
      <x:c r="E273" s="14" t="n">
        <x:v>0.05</x:v>
      </x:c>
      <x:c r="F273" s="14" t="n">
        <x:v>0.03</x:v>
      </x:c>
      <x:c r="G273" s="14" t="n">
        <x:v>0.03</x:v>
      </x:c>
      <x:c r="H273" s="14" t="n">
        <x:v>0.03</x:v>
      </x:c>
      <x:c r="I273" s="2"/>
      <x:c r="J273" s="37"/>
      <x:c r="K273" s="37"/>
      <x:c r="L273" s="37"/>
      <x:c r="M273" s="37"/>
      <x:c r="N273" s="37"/>
    </x:row>
    <x:row r="274" ht="25" customHeight="1">
      <x:c r="A274" s="2" t="str">
        <x:v>基准</x:v>
      </x:c>
      <x:c r="B274" s="2"/>
      <x:c r="C274" s="2"/>
      <x:c r="D274" s="14" t="n">
        <x:v>0.15</x:v>
      </x:c>
      <x:c r="E274" s="14" t="n">
        <x:v>0.15</x:v>
      </x:c>
      <x:c r="F274" s="14" t="n">
        <x:v>0.12</x:v>
      </x:c>
      <x:c r="G274" s="14" t="n">
        <x:v>0.1</x:v>
      </x:c>
      <x:c r="H274" s="14" t="n">
        <x:v>0.1</x:v>
      </x:c>
      <x:c r="I274" s="2"/>
      <x:c r="J274" s="37"/>
      <x:c r="K274" s="37"/>
      <x:c r="L274" s="37"/>
      <x:c r="M274" s="37"/>
      <x:c r="N274" s="37"/>
    </x:row>
    <x:row r="275" ht="25" customHeight="1">
      <x:c r="A275" s="2" t="str">
        <x:v>上行</x:v>
      </x:c>
      <x:c r="B275" s="2"/>
      <x:c r="C275" s="2"/>
      <x:c r="D275" s="14" t="n">
        <x:v>0.25</x:v>
      </x:c>
      <x:c r="E275" s="14" t="n">
        <x:v>0.2</x:v>
      </x:c>
      <x:c r="F275" s="14" t="n">
        <x:v>0.18</x:v>
      </x:c>
      <x:c r="G275" s="14" t="n">
        <x:v>0.15</x:v>
      </x:c>
      <x:c r="H275" s="14" t="n">
        <x:v>0.12</x:v>
      </x:c>
      <x:c r="I275" s="2"/>
      <x:c r="J275" s="37"/>
      <x:c r="K275" s="37"/>
      <x:c r="L275" s="37"/>
      <x:c r="M275" s="37"/>
      <x:c r="N275" s="37"/>
    </x:row>
    <x:row r="276" ht="2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37"/>
      <x:c r="K276" s="37"/>
      <x:c r="L276" s="37"/>
      <x:c r="M276" s="37"/>
      <x:c r="N276" s="37"/>
    </x:row>
    <x:row r="277" ht="25" customHeight="1">
      <x:c r="A277" s="6" t="str">
        <x:v>美好 呼吸厂家净价同比 | Active</x:v>
      </x:c>
      <x:c r="B277" s="6"/>
      <x:c r="C277" s="6"/>
      <x:c r="D277" s="26" t="n">
        <x:f>CHOOSE(Summary!$B$3,D278,D279,D280)</x:f>
        <x:v>-0.01</x:v>
      </x:c>
      <x:c r="E277" s="26" t="n">
        <x:f>CHOOSE(Summary!$B$3,E278,E279,E280)</x:f>
        <x:v>-0.01</x:v>
      </x:c>
      <x:c r="F277" s="26" t="n">
        <x:f>CHOOSE(Summary!$B$3,F278,F279,F280)</x:f>
        <x:v>-0.01</x:v>
      </x:c>
      <x:c r="G277" s="26" t="n">
        <x:f>CHOOSE(Summary!$B$3,G278,G279,G280)</x:f>
        <x:v>-0.01</x:v>
      </x:c>
      <x:c r="H277" s="26" t="n">
        <x:f>CHOOSE(Summary!$B$3,H278,H279,H280)</x:f>
        <x:v>-0.01</x:v>
      </x:c>
      <x:c r="I277" s="2"/>
      <x:c r="J277" s="37" t="str">
        <x:v>全球供应链，非中国OOP</x:v>
      </x:c>
      <x:c r="K277" s="37"/>
      <x:c r="L277" s="37"/>
      <x:c r="M277" s="37"/>
      <x:c r="N277" s="37"/>
    </x:row>
    <x:row r="278" ht="25" customHeight="1">
      <x:c r="A278" s="2" t="str">
        <x:v>下行</x:v>
      </x:c>
      <x:c r="B278" s="2"/>
      <x:c r="C278" s="2"/>
      <x:c r="D278" s="14" t="n">
        <x:v>-0.03</x:v>
      </x:c>
      <x:c r="E278" s="14" t="n">
        <x:v>-0.03</x:v>
      </x:c>
      <x:c r="F278" s="14" t="n">
        <x:v>-0.03</x:v>
      </x:c>
      <x:c r="G278" s="14" t="n">
        <x:v>-0.03</x:v>
      </x:c>
      <x:c r="H278" s="14" t="n">
        <x:v>-0.03</x:v>
      </x:c>
      <x:c r="I278" s="2"/>
      <x:c r="J278" s="37"/>
      <x:c r="K278" s="37"/>
      <x:c r="L278" s="37"/>
      <x:c r="M278" s="37"/>
      <x:c r="N278" s="37"/>
    </x:row>
    <x:row r="279" ht="25" customHeight="1">
      <x:c r="A279" s="2" t="str">
        <x:v>基准</x:v>
      </x:c>
      <x:c r="B279" s="2"/>
      <x:c r="C279" s="2"/>
      <x:c r="D279" s="14" t="n">
        <x:v>-0.01</x:v>
      </x:c>
      <x:c r="E279" s="14" t="n">
        <x:v>-0.01</x:v>
      </x:c>
      <x:c r="F279" s="14" t="n">
        <x:v>-0.01</x:v>
      </x:c>
      <x:c r="G279" s="14" t="n">
        <x:v>-0.01</x:v>
      </x:c>
      <x:c r="H279" s="14" t="n">
        <x:v>-0.01</x:v>
      </x:c>
      <x:c r="I279" s="2"/>
      <x:c r="J279" s="37"/>
      <x:c r="K279" s="37"/>
      <x:c r="L279" s="37"/>
      <x:c r="M279" s="37"/>
      <x:c r="N279" s="37"/>
    </x:row>
    <x:row r="280" ht="25" customHeight="1">
      <x:c r="A280" s="2" t="str">
        <x:v>上行</x:v>
      </x:c>
      <x:c r="B280" s="2"/>
      <x:c r="C280" s="2"/>
      <x:c r="D280" s="14" t="n">
        <x:v>0</x:v>
      </x:c>
      <x:c r="E280" s="14" t="n">
        <x:v>0</x:v>
      </x:c>
      <x:c r="F280" s="14" t="n">
        <x:v>0</x:v>
      </x:c>
      <x:c r="G280" s="14" t="n">
        <x:v>0</x:v>
      </x:c>
      <x:c r="H280" s="14" t="n">
        <x:v>0</x:v>
      </x:c>
      <x:c r="I280" s="2"/>
      <x:c r="J280" s="37"/>
      <x:c r="K280" s="37"/>
      <x:c r="L280" s="37"/>
      <x:c r="M280" s="37"/>
      <x:c r="N280" s="37"/>
    </x:row>
    <x:row r="281" ht="2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37"/>
      <x:c r="K281" s="37"/>
      <x:c r="L281" s="37"/>
      <x:c r="M281" s="37"/>
      <x:c r="N281" s="37"/>
    </x:row>
    <x:row r="282" ht="25" customHeight="1">
      <x:c r="A282" s="6" t="str">
        <x:v>美好 呼吸毛利率 | Active</x:v>
      </x:c>
      <x:c r="B282" s="6"/>
      <x:c r="C282" s="6"/>
      <x:c r="D282" s="26" t="n">
        <x:f>CHOOSE(Summary!$B$3,D283,D284,D285)</x:f>
        <x:v>0.435</x:v>
      </x:c>
      <x:c r="E282" s="26" t="n">
        <x:f>CHOOSE(Summary!$B$3,E283,E284,E285)</x:f>
        <x:v>0.435</x:v>
      </x:c>
      <x:c r="F282" s="26" t="n">
        <x:f>CHOOSE(Summary!$B$3,F283,F284,F285)</x:f>
        <x:v>0.435</x:v>
      </x:c>
      <x:c r="G282" s="26" t="n">
        <x:f>CHOOSE(Summary!$B$3,G283,G284,G285)</x:f>
        <x:v>0.435</x:v>
      </x:c>
      <x:c r="H282" s="26" t="n">
        <x:f>CHOOSE(Summary!$B$3,H283,H284,H285)</x:f>
        <x:v>0.435</x:v>
      </x:c>
      <x:c r="I282" s="2"/>
      <x:c r="J282" s="37" t="str">
        <x:v>全球供应链，非中国OOP</x:v>
      </x:c>
      <x:c r="K282" s="37"/>
      <x:c r="L282" s="37"/>
      <x:c r="M282" s="37"/>
      <x:c r="N282" s="37"/>
    </x:row>
    <x:row r="283" ht="25" customHeight="1">
      <x:c r="A283" s="2" t="str">
        <x:v>下行</x:v>
      </x:c>
      <x:c r="B283" s="2"/>
      <x:c r="C283" s="2"/>
      <x:c r="D283" s="14" t="n">
        <x:v>0.4</x:v>
      </x:c>
      <x:c r="E283" s="14" t="n">
        <x:v>0.4</x:v>
      </x:c>
      <x:c r="F283" s="14" t="n">
        <x:v>0.4</x:v>
      </x:c>
      <x:c r="G283" s="14" t="n">
        <x:v>0.4</x:v>
      </x:c>
      <x:c r="H283" s="14" t="n">
        <x:v>0.4</x:v>
      </x:c>
      <x:c r="I283" s="2"/>
      <x:c r="J283" s="37"/>
      <x:c r="K283" s="37"/>
      <x:c r="L283" s="37"/>
      <x:c r="M283" s="37"/>
      <x:c r="N283" s="37"/>
    </x:row>
    <x:row r="284" ht="25" customHeight="1">
      <x:c r="A284" s="2" t="str">
        <x:v>基准</x:v>
      </x:c>
      <x:c r="B284" s="2"/>
      <x:c r="C284" s="2"/>
      <x:c r="D284" s="14" t="n">
        <x:v>0.435</x:v>
      </x:c>
      <x:c r="E284" s="14" t="n">
        <x:v>0.435</x:v>
      </x:c>
      <x:c r="F284" s="14" t="n">
        <x:v>0.435</x:v>
      </x:c>
      <x:c r="G284" s="14" t="n">
        <x:v>0.435</x:v>
      </x:c>
      <x:c r="H284" s="14" t="n">
        <x:v>0.435</x:v>
      </x:c>
      <x:c r="I284" s="2"/>
      <x:c r="J284" s="37"/>
      <x:c r="K284" s="37"/>
      <x:c r="L284" s="37"/>
      <x:c r="M284" s="37"/>
      <x:c r="N284" s="37"/>
    </x:row>
    <x:row r="285" ht="25" customHeight="1">
      <x:c r="A285" s="2" t="str">
        <x:v>上行</x:v>
      </x:c>
      <x:c r="B285" s="2"/>
      <x:c r="C285" s="2"/>
      <x:c r="D285" s="14" t="n">
        <x:v>0.45</x:v>
      </x:c>
      <x:c r="E285" s="14" t="n">
        <x:v>0.45</x:v>
      </x:c>
      <x:c r="F285" s="14" t="n">
        <x:v>0.45</x:v>
      </x:c>
      <x:c r="G285" s="14" t="n">
        <x:v>0.45</x:v>
      </x:c>
      <x:c r="H285" s="14" t="n">
        <x:v>0.45</x:v>
      </x:c>
      <x:c r="I285" s="2"/>
      <x:c r="J285" s="37"/>
      <x:c r="K285" s="37"/>
      <x:c r="L285" s="37"/>
      <x:c r="M285" s="37"/>
      <x:c r="N285" s="37"/>
    </x:row>
    <x:row r="286" ht="2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37"/>
      <x:c r="K286" s="37"/>
      <x:c r="L286" s="37"/>
      <x:c r="M286" s="37"/>
      <x:c r="N286" s="37"/>
    </x:row>
    <x:row r="287" ht="25" customHeight="1">
      <x:c r="A287" s="6" t="str">
        <x:v>美好 其他毛利率 | Active</x:v>
      </x:c>
      <x:c r="B287" s="6"/>
      <x:c r="C287" s="6"/>
      <x:c r="D287" s="26" t="n">
        <x:f>CHOOSE(Summary!$B$3,D288,D289,D290)</x:f>
        <x:v>0.34</x:v>
      </x:c>
      <x:c r="E287" s="26" t="n">
        <x:f>CHOOSE(Summary!$B$3,E288,E289,E290)</x:f>
        <x:v>0.34</x:v>
      </x:c>
      <x:c r="F287" s="26" t="n">
        <x:f>CHOOSE(Summary!$B$3,F288,F289,F290)</x:f>
        <x:v>0.34</x:v>
      </x:c>
      <x:c r="G287" s="26" t="n">
        <x:f>CHOOSE(Summary!$B$3,G288,G289,G290)</x:f>
        <x:v>0.34</x:v>
      </x:c>
      <x:c r="H287" s="26" t="n">
        <x:f>CHOOSE(Summary!$B$3,H288,H289,H290)</x:f>
        <x:v>0.34</x:v>
      </x:c>
      <x:c r="I287" s="2"/>
      <x:c r="J287" s="37" t="str">
        <x:v>全球供应链，非中国OOP</x:v>
      </x:c>
      <x:c r="K287" s="37"/>
      <x:c r="L287" s="37"/>
      <x:c r="M287" s="37"/>
      <x:c r="N287" s="37"/>
    </x:row>
    <x:row r="288" ht="25" customHeight="1">
      <x:c r="A288" s="2" t="str">
        <x:v>下行</x:v>
      </x:c>
      <x:c r="B288" s="2"/>
      <x:c r="C288" s="2"/>
      <x:c r="D288" s="14" t="n">
        <x:v>0.3</x:v>
      </x:c>
      <x:c r="E288" s="14" t="n">
        <x:v>0.3</x:v>
      </x:c>
      <x:c r="F288" s="14" t="n">
        <x:v>0.3</x:v>
      </x:c>
      <x:c r="G288" s="14" t="n">
        <x:v>0.3</x:v>
      </x:c>
      <x:c r="H288" s="14" t="n">
        <x:v>0.3</x:v>
      </x:c>
      <x:c r="I288" s="2"/>
      <x:c r="J288" s="37"/>
      <x:c r="K288" s="37"/>
      <x:c r="L288" s="37"/>
      <x:c r="M288" s="37"/>
      <x:c r="N288" s="37"/>
    </x:row>
    <x:row r="289" ht="25" customHeight="1">
      <x:c r="A289" s="2" t="str">
        <x:v>基准</x:v>
      </x:c>
      <x:c r="B289" s="2"/>
      <x:c r="C289" s="2"/>
      <x:c r="D289" s="14" t="n">
        <x:v>0.34</x:v>
      </x:c>
      <x:c r="E289" s="14" t="n">
        <x:v>0.34</x:v>
      </x:c>
      <x:c r="F289" s="14" t="n">
        <x:v>0.34</x:v>
      </x:c>
      <x:c r="G289" s="14" t="n">
        <x:v>0.34</x:v>
      </x:c>
      <x:c r="H289" s="14" t="n">
        <x:v>0.34</x:v>
      </x:c>
      <x:c r="I289" s="2"/>
      <x:c r="J289" s="37"/>
      <x:c r="K289" s="37"/>
      <x:c r="L289" s="37"/>
      <x:c r="M289" s="37"/>
      <x:c r="N289" s="37"/>
    </x:row>
    <x:row r="290" ht="25" customHeight="1">
      <x:c r="A290" s="2" t="str">
        <x:v>上行</x:v>
      </x:c>
      <x:c r="B290" s="2"/>
      <x:c r="C290" s="2"/>
      <x:c r="D290" s="14" t="n">
        <x:v>0.36</x:v>
      </x:c>
      <x:c r="E290" s="14" t="n">
        <x:v>0.36</x:v>
      </x:c>
      <x:c r="F290" s="14" t="n">
        <x:v>0.36</x:v>
      </x:c>
      <x:c r="G290" s="14" t="n">
        <x:v>0.36</x:v>
      </x:c>
      <x:c r="H290" s="14" t="n">
        <x:v>0.36</x:v>
      </x:c>
      <x:c r="I290" s="2"/>
      <x:c r="J290" s="37"/>
      <x:c r="K290" s="37"/>
      <x:c r="L290" s="37"/>
      <x:c r="M290" s="37"/>
      <x:c r="N290" s="37"/>
    </x:row>
    <x:row r="291" ht="2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37"/>
      <x:c r="K291" s="37"/>
      <x:c r="L291" s="37"/>
      <x:c r="M291" s="37"/>
      <x:c r="N291" s="37"/>
    </x:row>
    <x:row r="292" ht="25" customHeight="1">
      <x:c r="A292" s="6" t="str">
        <x:v>美好 增量收入费用率 | Active</x:v>
      </x:c>
      <x:c r="B292" s="6"/>
      <x:c r="C292" s="6"/>
      <x:c r="D292" s="26" t="n">
        <x:f>CHOOSE(Summary!$B$3,D293,D294,D295)</x:f>
        <x:v>0.2</x:v>
      </x:c>
      <x:c r="E292" s="26" t="n">
        <x:f>CHOOSE(Summary!$B$3,E293,E294,E295)</x:f>
        <x:v>0.2</x:v>
      </x:c>
      <x:c r="F292" s="26" t="n">
        <x:f>CHOOSE(Summary!$B$3,F293,F294,F295)</x:f>
        <x:v>0.2</x:v>
      </x:c>
      <x:c r="G292" s="26" t="n">
        <x:f>CHOOSE(Summary!$B$3,G293,G294,G295)</x:f>
        <x:v>0.2</x:v>
      </x:c>
      <x:c r="H292" s="26" t="n">
        <x:f>CHOOSE(Summary!$B$3,H293,H294,H295)</x:f>
        <x:v>0.2</x:v>
      </x:c>
      <x:c r="I292" s="2"/>
      <x:c r="J292" s="37" t="str">
        <x:v>全球供应链，非中国OOP</x:v>
      </x:c>
      <x:c r="K292" s="37"/>
      <x:c r="L292" s="37"/>
      <x:c r="M292" s="37"/>
      <x:c r="N292" s="37"/>
    </x:row>
    <x:row r="293" ht="25" customHeight="1">
      <x:c r="A293" s="2" t="str">
        <x:v>下行</x:v>
      </x:c>
      <x:c r="B293" s="2"/>
      <x:c r="C293" s="2"/>
      <x:c r="D293" s="14" t="n">
        <x:v>0.2</x:v>
      </x:c>
      <x:c r="E293" s="14" t="n">
        <x:v>0.2</x:v>
      </x:c>
      <x:c r="F293" s="14" t="n">
        <x:v>0.2</x:v>
      </x:c>
      <x:c r="G293" s="14" t="n">
        <x:v>0.2</x:v>
      </x:c>
      <x:c r="H293" s="14" t="n">
        <x:v>0.2</x:v>
      </x:c>
      <x:c r="I293" s="2"/>
      <x:c r="J293" s="37"/>
      <x:c r="K293" s="37"/>
      <x:c r="L293" s="37"/>
      <x:c r="M293" s="37"/>
      <x:c r="N293" s="37"/>
    </x:row>
    <x:row r="294" ht="25" customHeight="1">
      <x:c r="A294" s="2" t="str">
        <x:v>基准</x:v>
      </x:c>
      <x:c r="B294" s="2"/>
      <x:c r="C294" s="2"/>
      <x:c r="D294" s="14" t="n">
        <x:v>0.2</x:v>
      </x:c>
      <x:c r="E294" s="14" t="n">
        <x:v>0.2</x:v>
      </x:c>
      <x:c r="F294" s="14" t="n">
        <x:v>0.2</x:v>
      </x:c>
      <x:c r="G294" s="14" t="n">
        <x:v>0.2</x:v>
      </x:c>
      <x:c r="H294" s="14" t="n">
        <x:v>0.2</x:v>
      </x:c>
      <x:c r="I294" s="2"/>
      <x:c r="J294" s="37"/>
      <x:c r="K294" s="37"/>
      <x:c r="L294" s="37"/>
      <x:c r="M294" s="37"/>
      <x:c r="N294" s="37"/>
    </x:row>
    <x:row r="295" ht="25" customHeight="1">
      <x:c r="A295" s="2" t="str">
        <x:v>上行</x:v>
      </x:c>
      <x:c r="B295" s="2"/>
      <x:c r="C295" s="2"/>
      <x:c r="D295" s="14" t="n">
        <x:v>0.2</x:v>
      </x:c>
      <x:c r="E295" s="14" t="n">
        <x:v>0.2</x:v>
      </x:c>
      <x:c r="F295" s="14" t="n">
        <x:v>0.2</x:v>
      </x:c>
      <x:c r="G295" s="14" t="n">
        <x:v>0.2</x:v>
      </x:c>
      <x:c r="H295" s="14" t="n">
        <x:v>0.2</x:v>
      </x:c>
      <x:c r="I295" s="2"/>
      <x:c r="J295" s="37"/>
      <x:c r="K295" s="37"/>
      <x:c r="L295" s="37"/>
      <x:c r="M295" s="37"/>
      <x:c r="N295" s="37"/>
    </x:row>
    <x:row r="296" ht="2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37"/>
      <x:c r="K296" s="37"/>
      <x:c r="L296" s="37"/>
      <x:c r="M296" s="37"/>
      <x:c r="N296" s="37"/>
    </x:row>
    <x:row r="297" ht="25" customHeight="1">
      <x:c r="A297" s="6" t="str">
        <x:v>美好 2026新增固定费用 | Active</x:v>
      </x:c>
      <x:c r="B297" s="6"/>
      <x:c r="C297" s="6"/>
      <x:c r="D297" s="25" t="n">
        <x:f>CHOOSE(Summary!$B$3,D298,D299,D300)</x:f>
        <x:v>30000000</x:v>
      </x:c>
      <x:c r="E297" s="25" t="n">
        <x:f>CHOOSE(Summary!$B$3,E298,E299,E300)</x:f>
        <x:v>30000000</x:v>
      </x:c>
      <x:c r="F297" s="25" t="n">
        <x:f>CHOOSE(Summary!$B$3,F298,F299,F300)</x:f>
        <x:v>30000000</x:v>
      </x:c>
      <x:c r="G297" s="25" t="n">
        <x:f>CHOOSE(Summary!$B$3,G298,G299,G300)</x:f>
        <x:v>30000000</x:v>
      </x:c>
      <x:c r="H297" s="25" t="n">
        <x:f>CHOOSE(Summary!$B$3,H298,H299,H300)</x:f>
        <x:v>30000000</x:v>
      </x:c>
      <x:c r="I297" s="2"/>
      <x:c r="J297" s="37" t="str">
        <x:v>元→百万元由build换算</x:v>
      </x:c>
      <x:c r="K297" s="37"/>
      <x:c r="L297" s="37"/>
      <x:c r="M297" s="37"/>
      <x:c r="N297" s="37"/>
    </x:row>
    <x:row r="298" ht="25" customHeight="1">
      <x:c r="A298" s="2" t="str">
        <x:v>下行</x:v>
      </x:c>
      <x:c r="B298" s="2"/>
      <x:c r="C298" s="2"/>
      <x:c r="D298" s="23" t="n">
        <x:v>40000000</x:v>
      </x:c>
      <x:c r="E298" s="23" t="n">
        <x:v>40000000</x:v>
      </x:c>
      <x:c r="F298" s="23" t="n">
        <x:v>40000000</x:v>
      </x:c>
      <x:c r="G298" s="23" t="n">
        <x:v>40000000</x:v>
      </x:c>
      <x:c r="H298" s="23" t="n">
        <x:v>40000000</x:v>
      </x:c>
      <x:c r="I298" s="2"/>
      <x:c r="J298" s="37"/>
      <x:c r="K298" s="37"/>
      <x:c r="L298" s="37"/>
      <x:c r="M298" s="37"/>
      <x:c r="N298" s="37"/>
    </x:row>
    <x:row r="299" ht="25" customHeight="1">
      <x:c r="A299" s="2" t="str">
        <x:v>基准</x:v>
      </x:c>
      <x:c r="B299" s="2"/>
      <x:c r="C299" s="2"/>
      <x:c r="D299" s="23" t="n">
        <x:v>30000000</x:v>
      </x:c>
      <x:c r="E299" s="23" t="n">
        <x:v>30000000</x:v>
      </x:c>
      <x:c r="F299" s="23" t="n">
        <x:v>30000000</x:v>
      </x:c>
      <x:c r="G299" s="23" t="n">
        <x:v>30000000</x:v>
      </x:c>
      <x:c r="H299" s="23" t="n">
        <x:v>30000000</x:v>
      </x:c>
      <x:c r="I299" s="2"/>
      <x:c r="J299" s="37"/>
      <x:c r="K299" s="37"/>
      <x:c r="L299" s="37"/>
      <x:c r="M299" s="37"/>
      <x:c r="N299" s="37"/>
    </x:row>
    <x:row r="300" ht="25" customHeight="1">
      <x:c r="A300" s="2" t="str">
        <x:v>上行</x:v>
      </x:c>
      <x:c r="B300" s="2"/>
      <x:c r="C300" s="2"/>
      <x:c r="D300" s="23" t="n">
        <x:v>20000000</x:v>
      </x:c>
      <x:c r="E300" s="23" t="n">
        <x:v>20000000</x:v>
      </x:c>
      <x:c r="F300" s="23" t="n">
        <x:v>20000000</x:v>
      </x:c>
      <x:c r="G300" s="23" t="n">
        <x:v>20000000</x:v>
      </x:c>
      <x:c r="H300" s="23" t="n">
        <x:v>20000000</x:v>
      </x:c>
      <x:c r="I300" s="2"/>
      <x:c r="J300" s="37"/>
      <x:c r="K300" s="37"/>
      <x:c r="L300" s="37"/>
      <x:c r="M300" s="37"/>
      <x:c r="N300" s="37"/>
    </x:row>
    <x:row r="301" ht="25" customHeight="1">
      <x:c r="J301" s="38"/>
      <x:c r="K301" s="38"/>
      <x:c r="L301" s="38"/>
      <x:c r="M301" s="38"/>
      <x:c r="N301" s="38"/>
    </x:row>
    <x:row r="302" ht="25" customHeight="1">
      <x:c r="A302" s="32" t="str">
        <x:v>美好 新增固定费用增速 | Active</x:v>
      </x:c>
      <x:c r="B302" s="32"/>
      <x:c r="C302" s="32"/>
      <x:c r="D302" s="34" t="n">
        <x:f>CHOOSE(Summary!$B$3,D303,D304,D305)</x:f>
        <x:v>0.08</x:v>
      </x:c>
      <x:c r="E302" s="34" t="n">
        <x:f>CHOOSE(Summary!$B$3,E303,E304,E305)</x:f>
        <x:v>0.08</x:v>
      </x:c>
      <x:c r="F302" s="34" t="n">
        <x:f>CHOOSE(Summary!$B$3,F303,F304,F305)</x:f>
        <x:v>0.08</x:v>
      </x:c>
      <x:c r="G302" s="34" t="n">
        <x:f>CHOOSE(Summary!$B$3,G303,G304,G305)</x:f>
        <x:v>0.08</x:v>
      </x:c>
      <x:c r="H302" s="34" t="n">
        <x:f>CHOOSE(Summary!$B$3,H303,H304,H305)</x:f>
        <x:v>0.08</x:v>
      </x:c>
      <x:c r="J302" s="38" t="str">
        <x:v>全球供应链，非中国OOP</x:v>
      </x:c>
      <x:c r="K302" s="38"/>
      <x:c r="L302" s="38"/>
      <x:c r="M302" s="38"/>
      <x:c r="N302" s="38"/>
    </x:row>
    <x:row r="303" ht="25" customHeight="1">
      <x:c r="A303" t="str">
        <x:v>下行</x:v>
      </x:c>
      <x:c r="D303" s="31" t="n">
        <x:v>0.08</x:v>
      </x:c>
      <x:c r="E303" s="31" t="n">
        <x:v>0.08</x:v>
      </x:c>
      <x:c r="F303" s="31" t="n">
        <x:v>0.08</x:v>
      </x:c>
      <x:c r="G303" s="31" t="n">
        <x:v>0.08</x:v>
      </x:c>
      <x:c r="H303" s="31" t="n">
        <x:v>0.08</x:v>
      </x:c>
      <x:c r="J303" s="38"/>
      <x:c r="K303" s="38"/>
      <x:c r="L303" s="38"/>
      <x:c r="M303" s="38"/>
      <x:c r="N303" s="38"/>
    </x:row>
    <x:row r="304" ht="25" customHeight="1">
      <x:c r="A304" t="str">
        <x:v>基准</x:v>
      </x:c>
      <x:c r="D304" s="31" t="n">
        <x:v>0.08</x:v>
      </x:c>
      <x:c r="E304" s="31" t="n">
        <x:v>0.08</x:v>
      </x:c>
      <x:c r="F304" s="31" t="n">
        <x:v>0.08</x:v>
      </x:c>
      <x:c r="G304" s="31" t="n">
        <x:v>0.08</x:v>
      </x:c>
      <x:c r="H304" s="31" t="n">
        <x:v>0.08</x:v>
      </x:c>
      <x:c r="J304" s="38"/>
      <x:c r="K304" s="38"/>
      <x:c r="L304" s="38"/>
      <x:c r="M304" s="38"/>
      <x:c r="N304" s="38"/>
    </x:row>
    <x:row r="305" ht="25" customHeight="1">
      <x:c r="A305" t="str">
        <x:v>上行</x:v>
      </x:c>
      <x:c r="D305" s="31" t="n">
        <x:v>0.08</x:v>
      </x:c>
      <x:c r="E305" s="31" t="n">
        <x:v>0.08</x:v>
      </x:c>
      <x:c r="F305" s="31" t="n">
        <x:v>0.08</x:v>
      </x:c>
      <x:c r="G305" s="31" t="n">
        <x:v>0.08</x:v>
      </x:c>
      <x:c r="H305" s="31" t="n">
        <x:v>0.08</x:v>
      </x:c>
      <x:c r="J305" s="38"/>
      <x:c r="K305" s="38"/>
      <x:c r="L305" s="38"/>
      <x:c r="M305" s="38"/>
      <x:c r="N305" s="38"/>
    </x:row>
    <x:row r="306" ht="25" customHeight="1">
      <x:c r="J306" s="38"/>
      <x:c r="K306" s="38"/>
      <x:c r="L306" s="38"/>
      <x:c r="M306" s="38"/>
      <x:c r="N306" s="38"/>
    </x:row>
    <x:row r="307" ht="25" customHeight="1">
      <x:c r="J307" s="38"/>
      <x:c r="K307" s="38"/>
      <x:c r="L307" s="38"/>
      <x:c r="M307" s="38"/>
      <x:c r="N307" s="38"/>
    </x:row>
  </x:sheetData>
  <x:mergeCells>
    <x:mergeCell ref="A1:H1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  <x:mergeCell ref="J35:N35"/>
    <x:mergeCell ref="J36:N36"/>
    <x:mergeCell ref="J37:N37"/>
    <x:mergeCell ref="J38:N38"/>
    <x:mergeCell ref="J39:N39"/>
    <x:mergeCell ref="J40:N40"/>
    <x:mergeCell ref="J41:N41"/>
    <x:mergeCell ref="J42:N42"/>
    <x:mergeCell ref="J43:N43"/>
    <x:mergeCell ref="J44:N44"/>
    <x:mergeCell ref="J45:N45"/>
    <x:mergeCell ref="J46:N46"/>
    <x:mergeCell ref="J47:N47"/>
    <x:mergeCell ref="J48:N48"/>
    <x:mergeCell ref="J49:N49"/>
    <x:mergeCell ref="J50:N50"/>
    <x:mergeCell ref="J51:N51"/>
    <x:mergeCell ref="J52:N52"/>
    <x:mergeCell ref="J53:N53"/>
    <x:mergeCell ref="J54:N54"/>
    <x:mergeCell ref="J55:N55"/>
    <x:mergeCell ref="J56:N56"/>
    <x:mergeCell ref="J57:N57"/>
    <x:mergeCell ref="J58:N58"/>
    <x:mergeCell ref="J59:N59"/>
    <x:mergeCell ref="J60:N60"/>
    <x:mergeCell ref="J61:N61"/>
    <x:mergeCell ref="J62:N62"/>
    <x:mergeCell ref="J63:N63"/>
    <x:mergeCell ref="J64:N64"/>
    <x:mergeCell ref="J65:N65"/>
    <x:mergeCell ref="J66:N66"/>
    <x:mergeCell ref="J67:N67"/>
    <x:mergeCell ref="J68:N68"/>
    <x:mergeCell ref="J69:N69"/>
    <x:mergeCell ref="J70:N70"/>
    <x:mergeCell ref="J71:N71"/>
    <x:mergeCell ref="J72:N72"/>
    <x:mergeCell ref="J73:N73"/>
    <x:mergeCell ref="J74:N74"/>
    <x:mergeCell ref="J75:N75"/>
    <x:mergeCell ref="J76:N76"/>
    <x:mergeCell ref="J77:N77"/>
    <x:mergeCell ref="J78:N78"/>
    <x:mergeCell ref="J79:N79"/>
    <x:mergeCell ref="J80:N80"/>
    <x:mergeCell ref="J81:N81"/>
    <x:mergeCell ref="J82:N82"/>
    <x:mergeCell ref="J83:N83"/>
    <x:mergeCell ref="J84:N84"/>
    <x:mergeCell ref="J85:N85"/>
    <x:mergeCell ref="J86:N86"/>
    <x:mergeCell ref="J87:N87"/>
    <x:mergeCell ref="J88:N88"/>
    <x:mergeCell ref="J89:N89"/>
    <x:mergeCell ref="J90:N90"/>
    <x:mergeCell ref="J91:N91"/>
    <x:mergeCell ref="J92:N92"/>
    <x:mergeCell ref="J93:N93"/>
    <x:mergeCell ref="J94:N94"/>
    <x:mergeCell ref="J95:N95"/>
    <x:mergeCell ref="J96:N96"/>
    <x:mergeCell ref="J97:N97"/>
    <x:mergeCell ref="J98:N98"/>
    <x:mergeCell ref="J99:N99"/>
    <x:mergeCell ref="J100:N100"/>
    <x:mergeCell ref="J101:N101"/>
    <x:mergeCell ref="J102:N102"/>
    <x:mergeCell ref="J103:N103"/>
    <x:mergeCell ref="J104:N104"/>
    <x:mergeCell ref="J105:N105"/>
    <x:mergeCell ref="J106:N106"/>
    <x:mergeCell ref="J107:N107"/>
    <x:mergeCell ref="J108:N108"/>
    <x:mergeCell ref="J109:N109"/>
    <x:mergeCell ref="J110:N110"/>
    <x:mergeCell ref="J111:N111"/>
    <x:mergeCell ref="J112:N112"/>
    <x:mergeCell ref="J113:N113"/>
    <x:mergeCell ref="J114:N114"/>
    <x:mergeCell ref="J115:N115"/>
    <x:mergeCell ref="J116:N116"/>
    <x:mergeCell ref="J117:N117"/>
    <x:mergeCell ref="J118:N118"/>
    <x:mergeCell ref="J119:N119"/>
    <x:mergeCell ref="J120:N120"/>
    <x:mergeCell ref="J121:N121"/>
    <x:mergeCell ref="J122:N122"/>
    <x:mergeCell ref="J123:N123"/>
    <x:mergeCell ref="J124:N124"/>
    <x:mergeCell ref="J125:N125"/>
    <x:mergeCell ref="J126:N126"/>
    <x:mergeCell ref="J127:N127"/>
    <x:mergeCell ref="J128:N128"/>
    <x:mergeCell ref="J129:N129"/>
    <x:mergeCell ref="J130:N130"/>
    <x:mergeCell ref="J131:N131"/>
    <x:mergeCell ref="J132:N132"/>
    <x:mergeCell ref="J133:N133"/>
    <x:mergeCell ref="J134:N134"/>
    <x:mergeCell ref="J135:N135"/>
    <x:mergeCell ref="J136:N136"/>
    <x:mergeCell ref="J137:N137"/>
    <x:mergeCell ref="J138:N138"/>
    <x:mergeCell ref="J139:N139"/>
    <x:mergeCell ref="J140:N140"/>
    <x:mergeCell ref="J141:N141"/>
    <x:mergeCell ref="J142:N142"/>
    <x:mergeCell ref="J143:N143"/>
    <x:mergeCell ref="J144:N144"/>
    <x:mergeCell ref="J145:N145"/>
    <x:mergeCell ref="J146:N146"/>
    <x:mergeCell ref="J147:N147"/>
    <x:mergeCell ref="J148:N148"/>
    <x:mergeCell ref="J149:N149"/>
    <x:mergeCell ref="J150:N150"/>
    <x:mergeCell ref="J151:N151"/>
    <x:mergeCell ref="J152:N152"/>
    <x:mergeCell ref="J153:N153"/>
    <x:mergeCell ref="J154:N154"/>
    <x:mergeCell ref="J155:N155"/>
    <x:mergeCell ref="J156:N156"/>
    <x:mergeCell ref="J157:N157"/>
    <x:mergeCell ref="J158:N158"/>
    <x:mergeCell ref="J159:N159"/>
    <x:mergeCell ref="J160:N160"/>
    <x:mergeCell ref="J161:N161"/>
    <x:mergeCell ref="J162:N162"/>
    <x:mergeCell ref="J163:N163"/>
    <x:mergeCell ref="J164:N164"/>
    <x:mergeCell ref="J165:N165"/>
    <x:mergeCell ref="J166:N166"/>
    <x:mergeCell ref="J167:N167"/>
    <x:mergeCell ref="J168:N168"/>
    <x:mergeCell ref="J169:N169"/>
    <x:mergeCell ref="J170:N170"/>
    <x:mergeCell ref="J171:N171"/>
    <x:mergeCell ref="J172:N172"/>
    <x:mergeCell ref="J173:N173"/>
    <x:mergeCell ref="J174:N174"/>
    <x:mergeCell ref="J175:N175"/>
    <x:mergeCell ref="J176:N176"/>
    <x:mergeCell ref="J177:N177"/>
    <x:mergeCell ref="J178:N178"/>
    <x:mergeCell ref="J179:N179"/>
    <x:mergeCell ref="J180:N180"/>
    <x:mergeCell ref="J181:N181"/>
    <x:mergeCell ref="J182:N182"/>
    <x:mergeCell ref="J183:N183"/>
    <x:mergeCell ref="J184:N184"/>
    <x:mergeCell ref="J185:N185"/>
    <x:mergeCell ref="J186:N186"/>
    <x:mergeCell ref="J187:N187"/>
    <x:mergeCell ref="J188:N188"/>
    <x:mergeCell ref="J189:N189"/>
    <x:mergeCell ref="J190:N190"/>
    <x:mergeCell ref="J191:N191"/>
    <x:mergeCell ref="J192:N192"/>
    <x:mergeCell ref="J193:N193"/>
    <x:mergeCell ref="J194:N194"/>
    <x:mergeCell ref="J195:N195"/>
    <x:mergeCell ref="J196:N196"/>
    <x:mergeCell ref="J197:N197"/>
    <x:mergeCell ref="J198:N198"/>
    <x:mergeCell ref="J199:N199"/>
    <x:mergeCell ref="J200:N200"/>
    <x:mergeCell ref="J201:N201"/>
    <x:mergeCell ref="J202:N202"/>
    <x:mergeCell ref="J203:N203"/>
    <x:mergeCell ref="J204:N204"/>
    <x:mergeCell ref="J205:N205"/>
    <x:mergeCell ref="J206:N206"/>
    <x:mergeCell ref="J207:N207"/>
    <x:mergeCell ref="J208:N208"/>
    <x:mergeCell ref="J209:N209"/>
    <x:mergeCell ref="J210:N210"/>
    <x:mergeCell ref="J211:N211"/>
    <x:mergeCell ref="J212:N212"/>
    <x:mergeCell ref="J213:N213"/>
    <x:mergeCell ref="J214:N214"/>
    <x:mergeCell ref="J215:N215"/>
    <x:mergeCell ref="J216:N216"/>
    <x:mergeCell ref="J217:N217"/>
    <x:mergeCell ref="J218:N218"/>
    <x:mergeCell ref="J219:N219"/>
    <x:mergeCell ref="J220:N220"/>
    <x:mergeCell ref="J221:N221"/>
    <x:mergeCell ref="J222:N222"/>
    <x:mergeCell ref="J223:N223"/>
    <x:mergeCell ref="J224:N224"/>
    <x:mergeCell ref="J225:N225"/>
    <x:mergeCell ref="J226:N226"/>
    <x:mergeCell ref="J227:N227"/>
    <x:mergeCell ref="J228:N228"/>
    <x:mergeCell ref="J229:N229"/>
    <x:mergeCell ref="J230:N230"/>
    <x:mergeCell ref="J231:N231"/>
    <x:mergeCell ref="J232:N232"/>
    <x:mergeCell ref="J233:N233"/>
    <x:mergeCell ref="J234:N234"/>
    <x:mergeCell ref="J235:N235"/>
    <x:mergeCell ref="J236:N236"/>
    <x:mergeCell ref="J237:N237"/>
    <x:mergeCell ref="J238:N238"/>
    <x:mergeCell ref="J239:N239"/>
    <x:mergeCell ref="J240:N240"/>
    <x:mergeCell ref="J241:N241"/>
    <x:mergeCell ref="J242:N242"/>
    <x:mergeCell ref="J243:N243"/>
    <x:mergeCell ref="J244:N244"/>
    <x:mergeCell ref="J245:N245"/>
    <x:mergeCell ref="J246:N246"/>
    <x:mergeCell ref="J247:N247"/>
    <x:mergeCell ref="J248:N248"/>
    <x:mergeCell ref="J249:N249"/>
    <x:mergeCell ref="J250:N250"/>
    <x:mergeCell ref="J251:N251"/>
    <x:mergeCell ref="J252:N252"/>
    <x:mergeCell ref="J253:N253"/>
    <x:mergeCell ref="J254:N254"/>
    <x:mergeCell ref="J255:N255"/>
    <x:mergeCell ref="J256:N256"/>
    <x:mergeCell ref="J257:N257"/>
    <x:mergeCell ref="J258:N258"/>
    <x:mergeCell ref="J259:N259"/>
    <x:mergeCell ref="J260:N260"/>
    <x:mergeCell ref="J261:N261"/>
    <x:mergeCell ref="J262:N262"/>
    <x:mergeCell ref="J263:N263"/>
    <x:mergeCell ref="J264:N264"/>
    <x:mergeCell ref="J265:N265"/>
    <x:mergeCell ref="J266:N266"/>
    <x:mergeCell ref="J267:N267"/>
    <x:mergeCell ref="J268:N268"/>
    <x:mergeCell ref="J269:N269"/>
    <x:mergeCell ref="J270:N270"/>
    <x:mergeCell ref="J271:N271"/>
    <x:mergeCell ref="J272:N272"/>
    <x:mergeCell ref="J273:N273"/>
    <x:mergeCell ref="J274:N274"/>
    <x:mergeCell ref="J275:N275"/>
    <x:mergeCell ref="J276:N276"/>
    <x:mergeCell ref="J277:N277"/>
    <x:mergeCell ref="J278:N278"/>
    <x:mergeCell ref="J279:N279"/>
    <x:mergeCell ref="J280:N280"/>
    <x:mergeCell ref="J281:N281"/>
    <x:mergeCell ref="J282:N282"/>
    <x:mergeCell ref="J283:N283"/>
    <x:mergeCell ref="J284:N284"/>
    <x:mergeCell ref="J285:N285"/>
    <x:mergeCell ref="J286:N286"/>
    <x:mergeCell ref="J287:N287"/>
    <x:mergeCell ref="J288:N288"/>
    <x:mergeCell ref="J289:N289"/>
    <x:mergeCell ref="J290:N290"/>
    <x:mergeCell ref="J291:N291"/>
    <x:mergeCell ref="J292:N292"/>
    <x:mergeCell ref="J293:N293"/>
    <x:mergeCell ref="J294:N294"/>
    <x:mergeCell ref="J295:N295"/>
    <x:mergeCell ref="J296:N296"/>
    <x:mergeCell ref="J297:N297"/>
    <x:mergeCell ref="J298:N298"/>
    <x:mergeCell ref="J299:N299"/>
    <x:mergeCell ref="J300:N300"/>
    <x:mergeCell ref="J301:N301"/>
    <x:mergeCell ref="J302:N302"/>
    <x:mergeCell ref="J303:N303"/>
    <x:mergeCell ref="J304:N304"/>
    <x:mergeCell ref="J305:N305"/>
    <x:mergeCell ref="J306:N306"/>
    <x:mergeCell ref="J307:N30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爱博：量价、成本与德美桥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基期细分毛利率未披露：下方高低端成本为校准假设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5" customHeight="1">
      <x:c r="A6" s="2" t="str">
        <x:v>基期高端收入占比(示意)</x:v>
      </x:c>
      <x:c r="B6" s="2"/>
      <x:c r="C6" s="14" t="n">
        <x:v>0.35</x:v>
      </x:c>
      <x:c r="D6" s="18"/>
      <x:c r="E6" s="18"/>
      <x:c r="F6" s="18"/>
      <x:c r="G6" s="18"/>
      <x:c r="H6" s="18"/>
      <x:c r="I6" s="2"/>
      <x:c r="J6" s="37"/>
      <x:c r="K6" s="37"/>
      <x:c r="L6" s="37"/>
      <x:c r="M6" s="37"/>
      <x:c r="N6" s="37"/>
    </x:row>
    <x:row r="7" ht="25" customHeight="1">
      <x:c r="A7" s="2" t="str">
        <x:v>基期高/低端厂商价差</x:v>
      </x:c>
      <x:c r="B7" s="2"/>
      <x:c r="C7" s="23" t="n">
        <x:v>3</x:v>
      </x:c>
      <x:c r="D7" s="10"/>
      <x:c r="E7" s="10"/>
      <x:c r="F7" s="10"/>
      <x:c r="G7" s="10"/>
      <x:c r="H7" s="10"/>
      <x:c r="I7" s="2"/>
      <x:c r="J7" s="37"/>
      <x:c r="K7" s="37"/>
      <x:c r="L7" s="37"/>
      <x:c r="M7" s="37"/>
      <x:c r="N7" s="37"/>
    </x:row>
    <x:row r="8" ht="25" customHeight="1">
      <x:c r="A8" s="2" t="str">
        <x:v>基期基础毛利率(残差校准)</x:v>
      </x:c>
      <x:c r="B8" s="2"/>
      <x:c r="C8" s="40" t="n">
        <x:f>(Actuals!K8-$C$6*$C$9)/(1-$C$6)</x:f>
        <x:v>0.8400680449589812</x:v>
      </x:c>
      <x:c r="D8" s="18"/>
      <x:c r="E8" s="18"/>
      <x:c r="F8" s="18"/>
      <x:c r="G8" s="18"/>
      <x:c r="H8" s="18"/>
      <x:c r="I8" s="2"/>
      <x:c r="J8" s="37"/>
      <x:c r="K8" s="37"/>
      <x:c r="L8" s="37"/>
      <x:c r="M8" s="37"/>
      <x:c r="N8" s="37"/>
    </x:row>
    <x:row r="9" ht="25" customHeight="1">
      <x:c r="A9" s="2" t="str">
        <x:v>基期高端毛利率(假设)</x:v>
      </x:c>
      <x:c r="B9" s="2"/>
      <x:c r="C9" s="14" t="n">
        <x:v>0.9</x:v>
      </x:c>
      <x:c r="D9" s="18"/>
      <x:c r="E9" s="18"/>
      <x:c r="F9" s="18"/>
      <x:c r="G9" s="18"/>
      <x:c r="H9" s="18"/>
      <x:c r="I9" s="2"/>
      <x:c r="J9" s="37"/>
      <x:c r="K9" s="37"/>
      <x:c r="L9" s="37"/>
      <x:c r="M9" s="37"/>
      <x:c r="N9" s="37"/>
    </x:row>
    <x:row r="10" ht="25" customHeight="1">
      <x:c r="A10" s="2"/>
      <x:c r="B10" s="2"/>
      <x:c r="C10" s="10"/>
      <x:c r="D10" s="10"/>
      <x:c r="E10" s="10"/>
      <x:c r="F10" s="10"/>
      <x:c r="G10" s="10"/>
      <x:c r="H10" s="10"/>
      <x:c r="I10" s="2"/>
      <x:c r="J10" s="37"/>
      <x:c r="K10" s="37"/>
      <x:c r="L10" s="37"/>
      <x:c r="M10" s="37"/>
      <x:c r="N10" s="37"/>
    </x:row>
    <x:row r="11" ht="25" customHeight="1">
      <x:c r="A11" s="2" t="str">
        <x:v>IOL 厂家销量 百万片</x:v>
      </x:c>
      <x:c r="B11" s="2"/>
      <x:c r="C11" s="21" t="n">
        <x:f>Actuals!I8/1000000</x:f>
        <x:v>1.603929</x:v>
      </x:c>
      <x:c r="D11" s="21" t="n">
        <x:f>C11*(1+Assumptions!D7)*(1+Summary!$B$4)</x:f>
        <x:v>1.5237325499999999</x:v>
      </x:c>
      <x:c r="E11" s="21" t="n">
        <x:f>D11*(1+Assumptions!E7)</x:f>
        <x:v>1.5694445264999999</x:v>
      </x:c>
      <x:c r="F11" s="21" t="n">
        <x:f>E11*(1+Assumptions!F7)</x:f>
        <x:v>1.647916752825</x:v>
      </x:c>
      <x:c r="G11" s="21" t="n">
        <x:f>F11*(1+Assumptions!G7)</x:f>
        <x:v>1.7303125904662502</x:v>
      </x:c>
      <x:c r="H11" s="21" t="n">
        <x:f>G11*(1+Assumptions!H7)</x:f>
        <x:v>1.8168282199895627</x:v>
      </x:c>
      <x:c r="I11" s="2"/>
      <x:c r="J11" s="37" t="str">
        <x:v>基期高端s35%、r3为用户示意；可改s25%并联2024近似锚。</x:v>
      </x:c>
      <x:c r="K11" s="37"/>
      <x:c r="L11" s="37"/>
      <x:c r="M11" s="37"/>
      <x:c r="N11" s="37"/>
    </x:row>
    <x:row r="12" ht="25" customHeight="1">
      <x:c r="A12" s="2" t="str">
        <x:v>高端销量占比</x:v>
      </x:c>
      <x:c r="B12" s="2"/>
      <x:c r="C12" s="18" t="n">
        <x:f>C6/(C7-C6*(C7-1))</x:f>
        <x:v>0.15217391304347827</x:v>
      </x:c>
      <x:c r="D12" s="41" t="n">
        <x:f>Assumptions!D12</x:f>
        <x:v>0.2</x:v>
      </x:c>
      <x:c r="E12" s="41" t="n">
        <x:f>Assumptions!E12</x:f>
        <x:v>0.25</x:v>
      </x:c>
      <x:c r="F12" s="41" t="n">
        <x:f>Assumptions!F12</x:f>
        <x:v>0.3</x:v>
      </x:c>
      <x:c r="G12" s="41" t="n">
        <x:f>Assumptions!G12</x:f>
        <x:v>0.35</x:v>
      </x:c>
      <x:c r="H12" s="41" t="n">
        <x:f>Assumptions!H12</x:f>
        <x:v>0.4</x:v>
      </x:c>
      <x:c r="I12" s="2"/>
      <x:c r="J12" s="37"/>
      <x:c r="K12" s="37"/>
      <x:c r="L12" s="37"/>
      <x:c r="M12" s="37"/>
      <x:c r="N12" s="37"/>
    </x:row>
    <x:row r="13" ht="25" customHeight="1">
      <x:c r="A13" s="2" t="str">
        <x:v>基础厂商净ASP 元</x:v>
      </x:c>
      <x:c r="B13" s="2"/>
      <x:c r="C13" s="21" t="n">
        <x:f>Actuals!G8/C11/(1+C12*(C7-1))</x:f>
        <x:v>284.9356626633722</x:v>
      </x:c>
      <x:c r="D13" s="21" t="n">
        <x:f>C13*(1+Assumptions!D17)</x:f>
        <x:v>242.19531326386638</x:v>
      </x:c>
      <x:c r="E13" s="21" t="n">
        <x:f>D13*(1+Assumptions!E17)</x:f>
        <x:v>230.08554760067304</x:v>
      </x:c>
      <x:c r="F13" s="21" t="n">
        <x:f>E13*(1+Assumptions!F17)</x:f>
        <x:v>223.18298117265283</x:v>
      </x:c>
      <x:c r="G13" s="21" t="n">
        <x:f>F13*(1+Assumptions!G17)</x:f>
        <x:v>218.71932154919978</x:v>
      </x:c>
      <x:c r="H13" s="21" t="n">
        <x:f>G13*(1+Assumptions!H17)</x:f>
        <x:v>214.34493511821577</x:v>
      </x:c>
      <x:c r="I13" s="2"/>
      <x:c r="J13" s="37"/>
      <x:c r="K13" s="37"/>
      <x:c r="L13" s="37"/>
      <x:c r="M13" s="37"/>
      <x:c r="N13" s="37"/>
    </x:row>
    <x:row r="14" ht="25" customHeight="1">
      <x:c r="A14" s="2" t="str">
        <x:v>高端厂商净ASP 元</x:v>
      </x:c>
      <x:c r="B14" s="2"/>
      <x:c r="C14" s="10" t="n">
        <x:f>C13*C7</x:f>
        <x:v>854.8069879901167</x:v>
      </x:c>
      <x:c r="D14" s="21" t="n">
        <x:f>C14*(1+Assumptions!D22)</x:f>
        <x:v>854.8069879901167</x:v>
      </x:c>
      <x:c r="E14" s="21" t="n">
        <x:f>D14*(1+Assumptions!E22)</x:f>
        <x:v>854.8069879901167</x:v>
      </x:c>
      <x:c r="F14" s="21" t="n">
        <x:f>E14*(1+Assumptions!F22)</x:f>
        <x:v>854.8069879901167</x:v>
      </x:c>
      <x:c r="G14" s="21" t="n">
        <x:f>F14*(1+Assumptions!G22)</x:f>
        <x:v>854.8069879901167</x:v>
      </x:c>
      <x:c r="H14" s="21" t="n">
        <x:f>G14*(1+Assumptions!H22)</x:f>
        <x:v>854.8069879901167</x:v>
      </x:c>
      <x:c r="I14" s="2"/>
      <x:c r="J14" s="37"/>
      <x:c r="K14" s="37"/>
      <x:c r="L14" s="37"/>
      <x:c r="M14" s="37"/>
      <x:c r="N14" s="37"/>
    </x:row>
    <x:row r="15" ht="25" customHeight="1">
      <x:c r="A15" s="2" t="str">
        <x:v>基础单位成本 元</x:v>
      </x:c>
      <x:c r="B15" s="2"/>
      <x:c r="C15" s="10" t="n">
        <x:f>C13*(1-C8)</x:f>
        <x:v>45.57031759066133</x:v>
      </x:c>
      <x:c r="D15" s="21" t="n">
        <x:f>C15*(1+Assumptions!D27)</x:f>
        <x:v>45.57031759066133</x:v>
      </x:c>
      <x:c r="E15" s="21" t="n">
        <x:f>D15*(1+Assumptions!E27)</x:f>
        <x:v>45.57031759066133</x:v>
      </x:c>
      <x:c r="F15" s="21" t="n">
        <x:f>E15*(1+Assumptions!F27)</x:f>
        <x:v>45.57031759066133</x:v>
      </x:c>
      <x:c r="G15" s="21" t="n">
        <x:f>F15*(1+Assumptions!G27)</x:f>
        <x:v>45.57031759066133</x:v>
      </x:c>
      <x:c r="H15" s="21" t="n">
        <x:f>G15*(1+Assumptions!H27)</x:f>
        <x:v>45.57031759066133</x:v>
      </x:c>
      <x:c r="I15" s="2"/>
      <x:c r="J15" s="37" t="str">
        <x:v>86.10%整体毛利仅校准约束；不代表真实高低端毛利。</x:v>
      </x:c>
      <x:c r="K15" s="37"/>
      <x:c r="L15" s="37"/>
      <x:c r="M15" s="37"/>
      <x:c r="N15" s="37"/>
    </x:row>
    <x:row r="16" ht="25" customHeight="1">
      <x:c r="A16" s="2" t="str">
        <x:v>高端单位成本 元</x:v>
      </x:c>
      <x:c r="B16" s="2"/>
      <x:c r="C16" s="10" t="n">
        <x:f>C14*(1-C9)</x:f>
        <x:v>85.48069879901165</x:v>
      </x:c>
      <x:c r="D16" s="21" t="n">
        <x:f>C16*(1+Assumptions!D32)</x:f>
        <x:v>85.48069879901165</x:v>
      </x:c>
      <x:c r="E16" s="21" t="n">
        <x:f>D16*(1+Assumptions!E32)</x:f>
        <x:v>85.48069879901165</x:v>
      </x:c>
      <x:c r="F16" s="21" t="n">
        <x:f>E16*(1+Assumptions!F32)</x:f>
        <x:v>85.48069879901165</x:v>
      </x:c>
      <x:c r="G16" s="21" t="n">
        <x:f>F16*(1+Assumptions!G32)</x:f>
        <x:v>85.48069879901165</x:v>
      </x:c>
      <x:c r="H16" s="21" t="n">
        <x:f>G16*(1+Assumptions!H32)</x:f>
        <x:v>85.48069879901165</x:v>
      </x:c>
      <x:c r="I16" s="2"/>
      <x:c r="J16" s="37"/>
      <x:c r="K16" s="37"/>
      <x:c r="L16" s="37"/>
      <x:c r="M16" s="37"/>
      <x:c r="N16" s="37"/>
    </x:row>
    <x:row r="17" ht="25" customHeight="1">
      <x:c r="A17" s="2" t="str">
        <x:v>混合厂商净ASP 元</x:v>
      </x:c>
      <x:c r="B17" s="2"/>
      <x:c r="C17" s="10" t="n">
        <x:f>(1-C12)*C13+C12*C14</x:f>
        <x:v>371.655212169616</x:v>
      </x:c>
      <x:c r="D17" s="10" t="n">
        <x:f>(1-D12)*D13+D12*D14</x:f>
        <x:v>364.7176482091165</x:v>
      </x:c>
      <x:c r="E17" s="10" t="n">
        <x:f>(1-E12)*E13+E12*E14</x:f>
        <x:v>386.26590769803397</x:v>
      </x:c>
      <x:c r="F17" s="10" t="n">
        <x:f>(1-F12)*F13+F12*F14</x:f>
        <x:v>412.670183217892</x:v>
      </x:c>
      <x:c r="G17" s="10" t="n">
        <x:f>(1-G12)*G13+G12*G14</x:f>
        <x:v>441.35000480352073</x:v>
      </x:c>
      <x:c r="H17" s="10" t="n">
        <x:f>(1-H12)*H13+H12*H14</x:f>
        <x:v>470.52975626697616</x:v>
      </x:c>
      <x:c r="I17" s="2"/>
      <x:c r="J17" s="37"/>
      <x:c r="K17" s="37"/>
      <x:c r="L17" s="37"/>
      <x:c r="M17" s="37"/>
      <x:c r="N17" s="37"/>
    </x:row>
    <x:row r="18" ht="25" customHeight="1">
      <x:c r="A18" s="2" t="str">
        <x:v>IOL 收入</x:v>
      </x:c>
      <x:c r="B18" s="2"/>
      <x:c r="C18" s="10" t="n">
        <x:f>C11*C17</x:f>
        <x:v>596.1085727999999</x:v>
      </x:c>
      <x:c r="D18" s="10" t="n">
        <x:f>D11*D17</x:f>
        <x:v>555.7321521356799</x:v>
      </x:c>
      <x:c r="E18" s="10" t="n">
        <x:f>E11*E17</x:f>
        <x:v>606.2229146102336</x:v>
      </x:c>
      <x:c r="F18" s="10" t="n">
        <x:f>F11*F17</x:f>
        <x:v>680.0461083161264</x:v>
      </x:c>
      <x:c r="G18" s="10" t="n">
        <x:f>G11*G17</x:f>
        <x:v>763.6734701138719</x:v>
      </x:c>
      <x:c r="H18" s="10" t="n">
        <x:f>H11*H17</x:f>
        <x:v>854.871739530653</x:v>
      </x:c>
      <x:c r="I18" s="2"/>
      <x:c r="J18" s="37"/>
      <x:c r="K18" s="37"/>
      <x:c r="L18" s="37"/>
      <x:c r="M18" s="37"/>
      <x:c r="N18" s="37"/>
    </x:row>
    <x:row r="19" ht="25" customHeight="1">
      <x:c r="A19" s="2" t="str">
        <x:v>基础成本</x:v>
      </x:c>
      <x:c r="B19" s="2"/>
      <x:c r="C19" s="10" t="n">
        <x:f>C11*(1-C12)*C15</x:f>
        <x:v>61.96892615200004</x:v>
      </x:c>
      <x:c r="D19" s="10" t="n">
        <x:f>D11*(1-D12)*D15</x:f>
        <x:v>55.54958098138259</x:v>
      </x:c>
      <x:c r="E19" s="10" t="n">
        <x:f>E11*(1-E12)*E15</x:f>
        <x:v>53.64006413514757</x:v>
      </x:c>
      <x:c r="F19" s="10" t="n">
        <x:f>F11*(1-F12)*F15</x:f>
        <x:v>52.567262852444614</x:v>
      </x:c>
      <x:c r="G19" s="10" t="n">
        <x:f>G11*(1-G12)*G15</x:f>
        <x:v>51.253081281133504</x:v>
      </x:c>
      <x:c r="H19" s="10" t="n">
        <x:f>H11*(1-H12)*H15</x:f>
        <x:v>49.67606339556016</x:v>
      </x:c>
      <x:c r="I19" s="2"/>
      <x:c r="J19" s="37"/>
      <x:c r="K19" s="37"/>
      <x:c r="L19" s="37"/>
      <x:c r="M19" s="37"/>
      <x:c r="N19" s="37"/>
    </x:row>
    <x:row r="20" ht="25" customHeight="1">
      <x:c r="A20" s="2" t="str">
        <x:v>高端成本</x:v>
      </x:c>
      <x:c r="B20" s="2"/>
      <x:c r="C20" s="10" t="n">
        <x:f>C11*C12*C16</x:f>
        <x:v>20.863800047999995</x:v>
      </x:c>
      <x:c r="D20" s="10" t="n">
        <x:f>D11*D12*D16</x:f>
        <x:v>26.04994463135999</x:v>
      </x:c>
      <x:c r="E20" s="10" t="n">
        <x:f>E11*E12*E16</x:f>
        <x:v>33.539303712875984</x:v>
      </x:c>
      <x:c r="F20" s="10" t="n">
        <x:f>F11*F12*F16</x:f>
        <x:v>42.259522678223746</x:v>
      </x:c>
      <x:c r="G20" s="10" t="n">
        <x:f>G11*G12*G16</x:f>
        <x:v>51.76791528082409</x:v>
      </x:c>
      <x:c r="H20" s="10" t="n">
        <x:f>H11*H12*H16</x:f>
        <x:v>62.121498336988914</x:v>
      </x:c>
      <x:c r="I20" s="2"/>
      <x:c r="J20" s="37"/>
      <x:c r="K20" s="37"/>
      <x:c r="L20" s="37"/>
      <x:c r="M20" s="37"/>
      <x:c r="N20" s="37"/>
    </x:row>
    <x:row r="21" ht="25" customHeight="1">
      <x:c r="A21" s="2" t="str">
        <x:v>IOL 毛利额</x:v>
      </x:c>
      <x:c r="B21" s="2"/>
      <x:c r="C21" s="10" t="n">
        <x:f>C18-C19-C20</x:f>
        <x:v>513.2758465999999</x:v>
      </x:c>
      <x:c r="D21" s="10" t="n">
        <x:f>D18-D19-D20</x:f>
        <x:v>474.13262652293736</x:v>
      </x:c>
      <x:c r="E21" s="10" t="n">
        <x:f>E18-E19-E20</x:f>
        <x:v>519.0435467622101</x:v>
      </x:c>
      <x:c r="F21" s="10" t="n">
        <x:f>F18-F19-F20</x:f>
        <x:v>585.219322785458</x:v>
      </x:c>
      <x:c r="G21" s="10" t="n">
        <x:f>G18-G19-G20</x:f>
        <x:v>660.6524735519142</x:v>
      </x:c>
      <x:c r="H21" s="10" t="n">
        <x:f>H18-H19-H20</x:f>
        <x:v>743.074177798104</x:v>
      </x:c>
      <x:c r="I21" s="2"/>
      <x:c r="J21" s="37"/>
      <x:c r="K21" s="37"/>
      <x:c r="L21" s="37"/>
      <x:c r="M21" s="37"/>
      <x:c r="N21" s="37"/>
    </x:row>
    <x:row r="22" ht="25" customHeight="1">
      <x:c r="A22" s="2" t="str">
        <x:v>IOL 毛利率</x:v>
      </x:c>
      <x:c r="B22" s="2"/>
      <x:c r="C22" s="18" t="n">
        <x:f>C21/C18</x:f>
        <x:v>0.8610442292233378</x:v>
      </x:c>
      <x:c r="D22" s="18" t="n">
        <x:f>D21/D18</x:f>
        <x:v>0.8531675280993634</x:v>
      </x:c>
      <x:c r="E22" s="18" t="n">
        <x:f>E21/E18</x:f>
        <x:v>0.856192555993904</x:v>
      </x:c>
      <x:c r="F22" s="18" t="n">
        <x:f>F21/F18</x:f>
        <x:v>0.860558299840182</x:v>
      </x:c>
      <x:c r="G22" s="18" t="n">
        <x:f>G21/G18</x:f>
        <x:v>0.8650981072491675</x:v>
      </x:c>
      <x:c r="H22" s="18" t="n">
        <x:f>H21/H18</x:f>
        <x:v>0.8692229997052787</x:v>
      </x:c>
      <x:c r="I22" s="2"/>
      <x:c r="J22" s="37"/>
      <x:c r="K22" s="37"/>
      <x:c r="L22" s="37"/>
      <x:c r="M22" s="37"/>
      <x:c r="N22" s="37"/>
    </x:row>
    <x:row r="23" ht="25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37"/>
      <x:c r="K23" s="37"/>
      <x:c r="L23" s="37"/>
      <x:c r="M23" s="37"/>
      <x:c r="N23" s="37"/>
    </x:row>
    <x:row r="24" ht="25" customHeight="1">
      <x:c r="A24" s="2" t="str">
        <x:v>累计新增固定费用</x:v>
      </x:c>
      <x:c r="B24" s="2"/>
      <x:c r="C24" s="10" t="n">
        <x:v>0</x:v>
      </x:c>
      <x:c r="D24" s="21" t="n">
        <x:f>C24+Assumptions!D42</x:f>
        <x:v>6</x:v>
      </x:c>
      <x:c r="E24" s="21" t="n">
        <x:f>D24+Assumptions!E42</x:f>
        <x:v>12</x:v>
      </x:c>
      <x:c r="F24" s="21" t="n">
        <x:f>E24+Assumptions!F42</x:f>
        <x:v>18</x:v>
      </x:c>
      <x:c r="G24" s="21" t="n">
        <x:f>F24+Assumptions!G42</x:f>
        <x:v>24</x:v>
      </x:c>
      <x:c r="H24" s="21" t="n">
        <x:f>G24+Assumptions!H42</x:f>
        <x:v>30</x:v>
      </x:c>
      <x:c r="I24" s="2"/>
      <x:c r="J24" s="37"/>
      <x:c r="K24" s="37"/>
      <x:c r="L24" s="37"/>
      <x:c r="M24" s="37"/>
      <x:c r="N24" s="37"/>
    </x:row>
    <x:row r="25" ht="25" customHeight="1">
      <x:c r="A25" s="2" t="str">
        <x:v>IOL 增量期间费用 vs2025</x:v>
      </x:c>
      <x:c r="B25" s="2"/>
      <x:c r="C25" s="10" t="n">
        <x:v>0</x:v>
      </x:c>
      <x:c r="D25" s="21" t="n">
        <x:f>(D18-$C$18)*Assumptions!D37+D24</x:f>
        <x:v>-2.075284132863999</x:v>
      </x:c>
      <x:c r="E25" s="21" t="n">
        <x:f>(E18-$C$18)*Assumptions!E37+E24</x:f>
        <x:v>14.022868362046733</x:v>
      </x:c>
      <x:c r="F25" s="21" t="n">
        <x:f>(F18-$C$18)*Assumptions!F37+F24</x:f>
        <x:v>34.787507103225295</x:v>
      </x:c>
      <x:c r="G25" s="21" t="n">
        <x:f>(G18-$C$18)*Assumptions!G37+G24</x:f>
        <x:v>57.51297946277439</x:v>
      </x:c>
      <x:c r="H25" s="21" t="n">
        <x:f>(H18-$C$18)*Assumptions!H37+H24</x:f>
        <x:v>81.75263334613062</x:v>
      </x:c>
      <x:c r="I25" s="2"/>
      <x:c r="J25" s="37" t="str">
        <x:v>费用取增量收入比例+累计固定新增，保留负增量的费用节约。</x:v>
      </x:c>
      <x:c r="K25" s="37"/>
      <x:c r="L25" s="37"/>
      <x:c r="M25" s="37"/>
      <x:c r="N25" s="37"/>
    </x:row>
    <x:row r="26" ht="25" customHeight="1">
      <x:c r="A26" s="2" t="str">
        <x:v>IOL 税后利润变化 vs2025</x:v>
      </x:c>
      <x:c r="B26" s="2"/>
      <x:c r="C26" s="10" t="n">
        <x:v>0</x:v>
      </x:c>
      <x:c r="D26" s="10" t="n">
        <x:f>(D21-$C$21-D25)*(1-$C$40)</x:f>
        <x:v>-31.507745552568768</x:v>
      </x:c>
      <x:c r="E26" s="10" t="n">
        <x:f>(E21-$C$21-E25)*(1-$C$40)</x:f>
        <x:v>-7.016892969861061</x:v>
      </x:c>
      <x:c r="F26" s="10" t="n">
        <x:f>(F21-$C$21-F25)*(1-$C$40)</x:f>
        <x:v>31.582573719897844</x:v>
      </x:c>
      <x:c r="G26" s="10" t="n">
        <x:f>(G21-$C$21-G25)*(1-$C$40)</x:f>
        <x:v>76.38410036576894</x:v>
      </x:c>
      <x:c r="H26" s="10" t="n">
        <x:f>(H21-$C$21-H25)*(1-$C$40)</x:f>
        <x:v>125.83884317417743</x:v>
      </x:c>
      <x:c r="I26" s="2"/>
      <x:c r="J26" s="37"/>
      <x:c r="K26" s="37"/>
      <x:c r="L26" s="37"/>
      <x:c r="M26" s="37"/>
      <x:c r="N26" s="37"/>
    </x:row>
    <x:row r="27" ht="25" customHeight="1">
      <x:c r="A27" s="2"/>
      <x:c r="B27" s="2"/>
      <x:c r="C27" s="10"/>
      <x:c r="D27" s="10"/>
      <x:c r="E27" s="10"/>
      <x:c r="F27" s="10"/>
      <x:c r="G27" s="10"/>
      <x:c r="H27" s="10"/>
      <x:c r="I27" s="2"/>
      <x:c r="J27" s="37"/>
      <x:c r="K27" s="37"/>
      <x:c r="L27" s="37"/>
      <x:c r="M27" s="37"/>
      <x:c r="N27" s="37"/>
    </x:row>
    <x:row r="28" ht="25" customHeight="1">
      <x:c r="A28" s="2" t="str">
        <x:v>既有非IOL收入</x:v>
      </x:c>
      <x:c r="B28" s="2"/>
      <x:c r="C28" s="21" t="n">
        <x:f>Actuals!C8-Actuals!G8</x:f>
        <x:v>886.59416853</x:v>
      </x:c>
      <x:c r="D28" s="21" t="n">
        <x:f>C28*(1+Assumptions!D47)</x:f>
        <x:v>957.5217020124002</x:v>
      </x:c>
      <x:c r="E28" s="21" t="n">
        <x:f>D28*(1+Assumptions!E47)</x:f>
        <x:v>1034.1234381733923</x:v>
      </x:c>
      <x:c r="F28" s="21" t="n">
        <x:f>E28*(1+Assumptions!F47)</x:f>
        <x:v>1116.8533132272637</x:v>
      </x:c>
      <x:c r="G28" s="21" t="n">
        <x:f>F28*(1+Assumptions!G47)</x:f>
        <x:v>1206.2015782854448</x:v>
      </x:c>
      <x:c r="H28" s="21" t="n">
        <x:f>G28*(1+Assumptions!H47)</x:f>
        <x:v>1302.6977045482804</x:v>
      </x:c>
      <x:c r="I28" s="2"/>
      <x:c r="J28" s="37"/>
      <x:c r="K28" s="37"/>
      <x:c r="L28" s="37"/>
      <x:c r="M28" s="37"/>
      <x:c r="N28" s="37"/>
    </x:row>
    <x:row r="29" ht="25" customHeight="1">
      <x:c r="A29" s="2" t="str">
        <x:v>德美并表收入</x:v>
      </x:c>
      <x:c r="B29" s="2"/>
      <x:c r="C29" s="10" t="n">
        <x:v>0</x:v>
      </x:c>
      <x:c r="D29" s="21" t="n">
        <x:f>Assumptions!D57*$C$44</x:f>
        <x:v>254.1</x:v>
      </x:c>
      <x:c r="E29" s="21" t="n">
        <x:f>Assumptions!E57*1</x:f>
        <x:v>363</x:v>
      </x:c>
      <x:c r="F29" s="21" t="n">
        <x:f>Assumptions!F57*1</x:f>
        <x:v>399.3</x:v>
      </x:c>
      <x:c r="G29" s="21" t="n">
        <x:f>Assumptions!G57*1</x:f>
        <x:v>439.23</x:v>
      </x:c>
      <x:c r="H29" s="21" t="n">
        <x:f>Assumptions!H57*1</x:f>
        <x:v>483.15</x:v>
      </x:c>
      <x:c r="I29" s="2"/>
      <x:c r="J29" s="37"/>
      <x:c r="K29" s="37"/>
      <x:c r="L29" s="37"/>
      <x:c r="M29" s="37"/>
      <x:c r="N29" s="37"/>
    </x:row>
    <x:row r="30" ht="25" customHeight="1">
      <x:c r="A30" s="2" t="str">
        <x:v>集团收入</x:v>
      </x:c>
      <x:c r="B30" s="2"/>
      <x:c r="C30" s="21" t="n">
        <x:f>Actuals!C8</x:f>
        <x:v>1482.70274133</x:v>
      </x:c>
      <x:c r="D30" s="10" t="n">
        <x:f>SUM(D18,D28,D29)</x:f>
        <x:v>1767.35385414808</x:v>
      </x:c>
      <x:c r="E30" s="10" t="n">
        <x:f>SUM(E18,E28,E29)</x:f>
        <x:v>2003.346352783626</x:v>
      </x:c>
      <x:c r="F30" s="10" t="n">
        <x:f>SUM(F18,F28,F29)</x:f>
        <x:v>2196.19942154339</x:v>
      </x:c>
      <x:c r="G30" s="10" t="n">
        <x:f>SUM(G18,G28,G29)</x:f>
        <x:v>2409.1050483993167</x:v>
      </x:c>
      <x:c r="H30" s="10" t="n">
        <x:f>SUM(H18,H28,H29)</x:f>
        <x:v>2640.7194440789335</x:v>
      </x:c>
      <x:c r="I30" s="2"/>
      <x:c r="J30" s="37"/>
      <x:c r="K30" s="37"/>
      <x:c r="L30" s="37"/>
      <x:c r="M30" s="37"/>
      <x:c r="N30" s="37"/>
    </x:row>
    <x:row r="31" ht="25" customHeight="1">
      <x:c r="A31" s="2" t="str">
        <x:v>既有非IOL增量净利润</x:v>
      </x:c>
      <x:c r="B31" s="2"/>
      <x:c r="C31" s="10" t="n">
        <x:v>0</x:v>
      </x:c>
      <x:c r="D31" s="21" t="n">
        <x:f>(D28-$C$28)*Assumptions!D52</x:f>
        <x:v>10.639130022360018</x:v>
      </x:c>
      <x:c r="E31" s="21" t="n">
        <x:f>(E28-$C$28)*Assumptions!E52</x:f>
        <x:v>22.129390446508836</x:v>
      </x:c>
      <x:c r="F31" s="21" t="n">
        <x:f>(F28-$C$28)*Assumptions!F52</x:f>
        <x:v>34.538871704589546</x:v>
      </x:c>
      <x:c r="G31" s="21" t="n">
        <x:f>(G28-$C$28)*Assumptions!G52</x:f>
        <x:v>47.941111463316716</x:v>
      </x:c>
      <x:c r="H31" s="21" t="n">
        <x:f>(H28-$C$28)*Assumptions!H52</x:f>
        <x:v>62.41553040274205</x:v>
      </x:c>
      <x:c r="I31" s="2"/>
      <x:c r="J31" s="37"/>
      <x:c r="K31" s="37"/>
      <x:c r="L31" s="37"/>
      <x:c r="M31" s="37"/>
      <x:c r="N31" s="37"/>
    </x:row>
    <x:row r="32" ht="25" customHeight="1">
      <x:c r="A32" s="2" t="str">
        <x:v>德美归母利润(融资前)</x:v>
      </x:c>
      <x:c r="B32" s="2"/>
      <x:c r="C32" s="10" t="n">
        <x:v>0</x:v>
      </x:c>
      <x:c r="D32" s="21" t="n">
        <x:f>Assumptions!D62*Assumptions!D67*$C$41*$C$44</x:f>
        <x:v>20.11900275</x:v>
      </x:c>
      <x:c r="E32" s="21" t="n">
        <x:f>Assumptions!E62*Assumptions!E67*$C$41*1</x:f>
        <x:v>31.934925000000003</x:v>
      </x:c>
      <x:c r="F32" s="21" t="n">
        <x:f>Assumptions!F62*Assumptions!F67*$C$41*1</x:f>
        <x:v>37.741275</x:v>
      </x:c>
      <x:c r="G32" s="21" t="n">
        <x:f>Assumptions!G62*Assumptions!G67*$C$41*1</x:f>
        <x:v>41.5154025</x:v>
      </x:c>
      <x:c r="H32" s="21" t="n">
        <x:f>Assumptions!H62*Assumptions!H67*$C$41*1</x:f>
        <x:v>45.666942750000004</x:v>
      </x:c>
      <x:c r="I32" s="2"/>
      <x:c r="J32" s="37"/>
      <x:c r="K32" s="37"/>
      <x:c r="L32" s="37"/>
      <x:c r="M32" s="37"/>
      <x:c r="N32" s="37"/>
    </x:row>
    <x:row r="33" ht="25" customHeight="1">
      <x:c r="A33" s="2" t="str">
        <x:v>并购税后融资/PPA成本</x:v>
      </x:c>
      <x:c r="B33" s="2"/>
      <x:c r="C33" s="10" t="n">
        <x:v>0</x:v>
      </x:c>
      <x:c r="D33" s="21" t="n">
        <x:f>($C$42*$C$43*Assumptions!D72+Assumptions!D77*$C$41)*(1-$C$40)*$C$44</x:f>
        <x:v>12.293541800347501</x:v>
      </x:c>
      <x:c r="E33" s="21" t="n">
        <x:f>($C$42*$C$43*Assumptions!E72+Assumptions!E77*$C$41)*(1-$C$40)*1</x:f>
        <x:v>15.965638701750002</x:v>
      </x:c>
      <x:c r="F33" s="21" t="n">
        <x:f>($C$42*$C$43*Assumptions!F72+Assumptions!F77*$C$41)*(1-$C$40)*1</x:f>
        <x:v>15.965638701750002</x:v>
      </x:c>
      <x:c r="G33" s="21" t="n">
        <x:f>($C$42*$C$43*Assumptions!G72+Assumptions!G77*$C$41)*(1-$C$40)*1</x:f>
        <x:v>15.965638701750002</x:v>
      </x:c>
      <x:c r="H33" s="21" t="n">
        <x:f>($C$42*$C$43*Assumptions!H72+Assumptions!H77*$C$41)*(1-$C$40)*1</x:f>
        <x:v>15.965638701750002</x:v>
      </x:c>
      <x:c r="I33" s="2"/>
      <x:c r="J33" s="37"/>
      <x:c r="K33" s="37"/>
      <x:c r="L33" s="37"/>
      <x:c r="M33" s="37"/>
      <x:c r="N33" s="37"/>
    </x:row>
    <x:row r="34" ht="25" customHeight="1">
      <x:c r="A34" s="2" t="str">
        <x:v>德美净增归母</x:v>
      </x:c>
      <x:c r="B34" s="2"/>
      <x:c r="C34" s="10" t="n">
        <x:v>0</x:v>
      </x:c>
      <x:c r="D34" s="10" t="n">
        <x:f>D32-D33</x:f>
        <x:v>7.8254609496524985</x:v>
      </x:c>
      <x:c r="E34" s="10" t="n">
        <x:f>E32-E33</x:f>
        <x:v>15.969286298250001</x:v>
      </x:c>
      <x:c r="F34" s="10" t="n">
        <x:f>F32-F33</x:f>
        <x:v>21.77563629825</x:v>
      </x:c>
      <x:c r="G34" s="10" t="n">
        <x:f>G32-G33</x:f>
        <x:v>25.549763798249998</x:v>
      </x:c>
      <x:c r="H34" s="10" t="n">
        <x:f>H32-H33</x:f>
        <x:v>29.70130404825</x:v>
      </x:c>
      <x:c r="I34" s="2"/>
      <x:c r="J34" s="37"/>
      <x:c r="K34" s="37"/>
      <x:c r="L34" s="37"/>
      <x:c r="M34" s="37"/>
      <x:c r="N34" s="37"/>
    </x:row>
    <x:row r="35" ht="25" customHeight="1">
      <x:c r="A35" s="6" t="str">
        <x:v>集团条件扣非归母</x:v>
      </x:c>
      <x:c r="B35" s="6"/>
      <x:c r="C35" s="25" t="n">
        <x:f>Actuals!E8</x:f>
        <x:v>255.23014103</x:v>
      </x:c>
      <x:c r="D35" s="24" t="n">
        <x:f>$C$35+D26+D31+D34</x:f>
        <x:v>242.18698644944374</x:v>
      </x:c>
      <x:c r="E35" s="24" t="n">
        <x:f>$C$35+E26+E31+E34</x:f>
        <x:v>286.3119248048977</x:v>
      </x:c>
      <x:c r="F35" s="24" t="n">
        <x:f>$C$35+F26+F31+F34</x:f>
        <x:v>343.1272227527374</x:v>
      </x:c>
      <x:c r="G35" s="24" t="n">
        <x:f>$C$35+G26+G31+G34</x:f>
        <x:v>405.10511665733566</x:v>
      </x:c>
      <x:c r="H35" s="24" t="n">
        <x:f>$C$35+H26+H31+H34</x:f>
        <x:v>473.18581865516944</x:v>
      </x:c>
      <x:c r="I35" s="2"/>
      <x:c r="J35" s="37" t="str">
        <x:v>集团=2025扣非+IOL变化+既有业务增量+德美；未建三张表。</x:v>
      </x:c>
      <x:c r="K35" s="37"/>
      <x:c r="L35" s="37"/>
      <x:c r="M35" s="37"/>
      <x:c r="N35" s="37"/>
    </x:row>
    <x:row r="36" ht="25" customHeight="1">
      <x:c r="A36" s="6" t="str">
        <x:v>静态可比股本 百万股</x:v>
      </x:c>
      <x:c r="B36" s="6"/>
      <x:c r="C36" s="24" t="n">
        <x:f>193.437735</x:f>
        <x:v>193.437735</x:v>
      </x:c>
      <x:c r="D36" s="24" t="n">
        <x:f>193.437735</x:f>
        <x:v>193.437735</x:v>
      </x:c>
      <x:c r="E36" s="24" t="n">
        <x:f>193.437735</x:f>
        <x:v>193.437735</x:v>
      </x:c>
      <x:c r="F36" s="24" t="n">
        <x:f>193.437735</x:f>
        <x:v>193.437735</x:v>
      </x:c>
      <x:c r="G36" s="24" t="n">
        <x:f>193.437735</x:f>
        <x:v>193.437735</x:v>
      </x:c>
      <x:c r="H36" s="24" t="n">
        <x:f>193.437735</x:f>
        <x:v>193.437735</x:v>
      </x:c>
      <x:c r="I36" s="2"/>
      <x:c r="J36" s="37"/>
      <x:c r="K36" s="37"/>
      <x:c r="L36" s="37"/>
      <x:c r="M36" s="37"/>
      <x:c r="N36" s="37"/>
    </x:row>
    <x:row r="37" ht="25" customHeight="1">
      <x:c r="A37" s="6" t="str">
        <x:v>集团条件EPS 元</x:v>
      </x:c>
      <x:c r="B37" s="6"/>
      <x:c r="C37" s="43" t="n">
        <x:f>C35/C36</x:f>
        <x:v>1.3194433910736185</x:v>
      </x:c>
      <x:c r="D37" s="43" t="n">
        <x:f>D35/D36</x:f>
        <x:v>1.2520152102145103</x:v>
      </x:c>
      <x:c r="E37" s="43" t="n">
        <x:f>E35/E36</x:f>
        <x:v>1.480124469017887</x:v>
      </x:c>
      <x:c r="F37" s="43" t="n">
        <x:f>F35/F36</x:f>
        <x:v>1.7738380918942076</x:v>
      </x:c>
      <x:c r="G37" s="43" t="n">
        <x:f>G35/G36</x:f>
        <x:v>2.0942403851933835</x:v>
      </x:c>
      <x:c r="H37" s="43" t="n">
        <x:f>H35/H36</x:f>
        <x:v>2.446191890404266</x:v>
      </x:c>
      <x:c r="I37" s="2"/>
      <x:c r="J37" s="37"/>
      <x:c r="K37" s="37"/>
      <x:c r="L37" s="37"/>
      <x:c r="M37" s="37"/>
      <x:c r="N37" s="37"/>
    </x:row>
    <x:row r="38" ht="25" customHeight="1">
      <x:c r="A38" s="6" t="str">
        <x:v>仅IOL增量EPS vs2025</x:v>
      </x:c>
      <x:c r="B38" s="6"/>
      <x:c r="C38" s="43" t="n">
        <x:v>0</x:v>
      </x:c>
      <x:c r="D38" s="43" t="n">
        <x:f>D26/D36</x:f>
        <x:v>-0.16288313938626695</x:v>
      </x:c>
      <x:c r="E38" s="43" t="n">
        <x:f>E26/E36</x:f>
        <x:v>-0.036274685339243974</x:v>
      </x:c>
      <x:c r="F38" s="43" t="n">
        <x:f>F26/F36</x:f>
        <x:v>0.16326997273772795</x:v>
      </x:c>
      <x:c r="G38" s="43" t="n">
        <x:f>G26/G36</x:f>
        <x:v>0.39487693735541796</x:v>
      </x:c>
      <x:c r="H38" s="43" t="n">
        <x:f>H26/H36</x:f>
        <x:v>0.6505392713276829</x:v>
      </x:c>
      <x:c r="I38" s="2"/>
      <x:c r="J38" s="37"/>
      <x:c r="K38" s="37"/>
      <x:c r="L38" s="37"/>
      <x:c r="M38" s="37"/>
      <x:c r="N38" s="37"/>
    </x:row>
    <x:row r="39" ht="25" customHeight="1">
      <x:c r="A39" s="2"/>
      <x:c r="B39" s="2"/>
      <x:c r="C39" s="10"/>
      <x:c r="D39" s="10"/>
      <x:c r="E39" s="10"/>
      <x:c r="F39" s="10"/>
      <x:c r="G39" s="10"/>
      <x:c r="H39" s="10"/>
      <x:c r="I39" s="2"/>
      <x:c r="J39" s="37"/>
      <x:c r="K39" s="37"/>
      <x:c r="L39" s="37"/>
      <x:c r="M39" s="37"/>
      <x:c r="N39" s="37"/>
    </x:row>
    <x:row r="40" ht="25" customHeight="1">
      <x:c r="A40" s="2" t="str">
        <x:v>IOL/母公司税率(假设)</x:v>
      </x:c>
      <x:c r="B40" s="2"/>
      <x:c r="C40" s="14" t="n">
        <x:v>0.15</x:v>
      </x:c>
      <x:c r="D40" s="18"/>
      <x:c r="E40" s="18"/>
      <x:c r="F40" s="18"/>
      <x:c r="G40" s="18"/>
      <x:c r="H40" s="18"/>
      <x:c r="I40" s="2"/>
      <x:c r="J40" s="37"/>
      <x:c r="K40" s="37"/>
      <x:c r="L40" s="37"/>
      <x:c r="M40" s="37"/>
      <x:c r="N40" s="37"/>
    </x:row>
    <x:row r="41" ht="25" customHeight="1">
      <x:c r="A41" s="2" t="str">
        <x:v>德美持股</x:v>
      </x:c>
      <x:c r="B41" s="2"/>
      <x:c r="C41" s="14" t="n">
        <x:v>0.6831</x:v>
      </x:c>
      <x:c r="D41" s="18"/>
      <x:c r="E41" s="18"/>
      <x:c r="F41" s="18"/>
      <x:c r="G41" s="18"/>
      <x:c r="H41" s="18"/>
      <x:c r="I41" s="2"/>
      <x:c r="J41" s="37"/>
      <x:c r="K41" s="37"/>
      <x:c r="L41" s="37"/>
      <x:c r="M41" s="37"/>
      <x:c r="N41" s="37"/>
    </x:row>
    <x:row r="42" ht="25" customHeight="1">
      <x:c r="A42" s="2" t="str">
        <x:v>收购价</x:v>
      </x:c>
      <x:c r="B42" s="2"/>
      <x:c r="C42" s="23" t="n">
        <x:v>683.004638</x:v>
      </x:c>
      <x:c r="D42" s="10"/>
      <x:c r="E42" s="10"/>
      <x:c r="F42" s="10"/>
      <x:c r="G42" s="10"/>
      <x:c r="H42" s="10"/>
      <x:c r="I42" s="2"/>
      <x:c r="J42" s="37"/>
      <x:c r="K42" s="37"/>
      <x:c r="L42" s="37"/>
      <x:c r="M42" s="37"/>
      <x:c r="N42" s="37"/>
    </x:row>
    <x:row r="43" ht="25" customHeight="1">
      <x:c r="A43" s="2" t="str">
        <x:v>并购贷款占比(假设)</x:v>
      </x:c>
      <x:c r="B43" s="2"/>
      <x:c r="C43" s="14" t="n">
        <x:v>0.75</x:v>
      </x:c>
      <x:c r="D43" s="18"/>
      <x:c r="E43" s="18"/>
      <x:c r="F43" s="18"/>
      <x:c r="G43" s="18"/>
      <x:c r="H43" s="18"/>
      <x:c r="I43" s="2"/>
      <x:c r="J43" s="37"/>
      <x:c r="K43" s="37"/>
      <x:c r="L43" s="37"/>
      <x:c r="M43" s="37"/>
      <x:c r="N43" s="37"/>
    </x:row>
    <x:row r="44" ht="25" customHeight="1">
      <x:c r="A44" s="2" t="str">
        <x:v>2026并表期间系数(近似)</x:v>
      </x:c>
      <x:c r="B44" s="2"/>
      <x:c r="C44" s="14" t="n">
        <x:v>0.77</x:v>
      </x:c>
      <x:c r="D44" s="18"/>
      <x:c r="E44" s="18"/>
      <x:c r="F44" s="18"/>
      <x:c r="G44" s="18"/>
      <x:c r="H44" s="18"/>
      <x:c r="I44" s="2"/>
      <x:c r="J44" s="37"/>
      <x:c r="K44" s="37"/>
      <x:c r="L44" s="37"/>
      <x:c r="M44" s="37"/>
      <x:c r="N44" s="37"/>
    </x:row>
    <x:row r="45" ht="23" customHeight="1">
      <x:c r="A45" s="2"/>
      <x:c r="B45" s="2"/>
      <x:c r="C45" s="10"/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7" customHeight="1">
      <x:c r="A47" s="45" t="str">
        <x:v>收入与毛利打平：同一批量、同一价格基期</x:v>
      </x:c>
      <x:c r="B47" s="45"/>
      <x:c r="C47" s="46"/>
      <x:c r="D47" s="46"/>
      <x:c r="E47" s="46"/>
      <x:c r="F47" s="46"/>
      <x:c r="G47" s="46"/>
      <x:c r="H47" s="46"/>
      <x:c r="I47" s="2"/>
      <x:c r="J47" s="2"/>
      <x:c r="K47" s="2" t="str">
        <x:v>年份</x:v>
      </x:c>
      <x:c r="L47" s="2" t="str">
        <x:v>IOL收入</x:v>
      </x:c>
      <x:c r="M47" s="2" t="str">
        <x:v>IOL毛利</x:v>
      </x:c>
      <x:c r="N47" s="2"/>
    </x:row>
    <x:row r="48" ht="23" customHeight="1">
      <x:c r="A48" s="2"/>
      <x:c r="B48" s="2"/>
      <x:c r="C48" s="10"/>
      <x:c r="D48" s="10"/>
      <x:c r="E48" s="10"/>
      <x:c r="F48" s="10"/>
      <x:c r="G48" s="10"/>
      <x:c r="H48" s="10"/>
      <x:c r="I48" s="2"/>
      <x:c r="J48" s="2"/>
      <x:c r="K48" s="2" t="str">
        <x:v>2025</x:v>
      </x:c>
      <x:c r="L48" s="10" t="n">
        <x:f>C18</x:f>
        <x:v>596.1085727999999</x:v>
      </x:c>
      <x:c r="M48" s="10" t="n">
        <x:f>C21</x:f>
        <x:v>513.2758465999999</x:v>
      </x:c>
      <x:c r="N48" s="2"/>
    </x:row>
    <x:row r="49" ht="23" customHeight="1">
      <x:c r="A49" s="2" t="str">
        <x:v>基础净价变动</x:v>
      </x:c>
      <x:c r="B49" s="2"/>
      <x:c r="C49" s="14" t="n">
        <x:v>-0.15</x:v>
      </x:c>
      <x:c r="D49" s="10"/>
      <x:c r="E49" s="10"/>
      <x:c r="F49" s="10"/>
      <x:c r="G49" s="10"/>
      <x:c r="H49" s="10"/>
      <x:c r="I49" s="2"/>
      <x:c r="J49" s="2"/>
      <x:c r="K49" s="2" t="str">
        <x:v>2026</x:v>
      </x:c>
      <x:c r="L49" s="10" t="n">
        <x:f>D18</x:f>
        <x:v>555.7321521356799</x:v>
      </x:c>
      <x:c r="M49" s="10" t="n">
        <x:f>D21</x:f>
        <x:v>474.13262652293736</x:v>
      </x:c>
      <x:c r="N49" s="2"/>
    </x:row>
    <x:row r="50" ht="23" customHeight="1">
      <x:c r="A50" s="2" t="str">
        <x:v>高端净价变动</x:v>
      </x:c>
      <x:c r="B50" s="2"/>
      <x:c r="C50" s="14" t="n">
        <x:v>0</x:v>
      </x:c>
      <x:c r="D50" s="10"/>
      <x:c r="E50" s="10"/>
      <x:c r="F50" s="10"/>
      <x:c r="G50" s="10"/>
      <x:c r="H50" s="10"/>
      <x:c r="I50" s="2"/>
      <x:c r="J50" s="2"/>
      <x:c r="K50" s="2" t="str">
        <x:v>2027</x:v>
      </x:c>
      <x:c r="L50" s="10" t="n">
        <x:f>E18</x:f>
        <x:v>606.2229146102336</x:v>
      </x:c>
      <x:c r="M50" s="10" t="n">
        <x:f>E21</x:f>
        <x:v>519.0435467622101</x:v>
      </x:c>
      <x:c r="N50" s="2"/>
    </x:row>
    <x:row r="51" ht="23" customHeight="1">
      <x:c r="A51" s="2" t="str">
        <x:v>测试高端销量占比</x:v>
      </x:c>
      <x:c r="B51" s="2"/>
      <x:c r="C51" s="14" t="n">
        <x:v>0.21132457</x:v>
      </x:c>
      <x:c r="D51" s="10"/>
      <x:c r="E51" s="10"/>
      <x:c r="F51" s="10"/>
      <x:c r="G51" s="10"/>
      <x:c r="H51" s="10"/>
      <x:c r="I51" s="2"/>
      <x:c r="J51" s="2"/>
      <x:c r="K51" s="2" t="str">
        <x:v>2028</x:v>
      </x:c>
      <x:c r="L51" s="10" t="n">
        <x:f>F18</x:f>
        <x:v>680.0461083161264</x:v>
      </x:c>
      <x:c r="M51" s="10" t="n">
        <x:f>F21</x:f>
        <x:v>585.219322785458</x:v>
      </x:c>
      <x:c r="N51" s="2"/>
    </x:row>
    <x:row r="52" ht="23" customHeight="1">
      <x:c r="A52" s="2" t="str">
        <x:v>收入打平所需高端销量占比</x:v>
      </x:c>
      <x:c r="B52" s="2"/>
      <x:c r="C52" s="18" t="n">
        <x:f>($C$17-$C$13*(1+C49))/($C$14*(1+C50)-$C$13*(1+C49))</x:f>
        <x:v>0.21132457027300314</x:v>
      </x:c>
      <x:c r="D52" s="10"/>
      <x:c r="E52" s="10"/>
      <x:c r="F52" s="10"/>
      <x:c r="G52" s="10"/>
      <x:c r="H52" s="10"/>
      <x:c r="I52" s="2"/>
      <x:c r="J52" s="2"/>
      <x:c r="K52" s="2" t="str">
        <x:v>2029</x:v>
      </x:c>
      <x:c r="L52" s="10" t="n">
        <x:f>G18</x:f>
        <x:v>763.6734701138719</x:v>
      </x:c>
      <x:c r="M52" s="10" t="n">
        <x:f>G21</x:f>
        <x:v>660.6524735519142</x:v>
      </x:c>
      <x:c r="N52" s="2"/>
    </x:row>
    <x:row r="53" ht="23" customHeight="1">
      <x:c r="A53" s="2" t="str">
        <x:v>毛利打平所需高端销量占比</x:v>
      </x:c>
      <x:c r="B53" s="2"/>
      <x:c r="C53" s="18" t="n">
        <x:f>($C$21/$C$11-($C$13*(1+C49)-$C$15))/(($C$14*(1+C50)-$C$16)-($C$13*(1+C49)-$C$15))</x:f>
        <x:v>0.21544665853345335</x:v>
      </x:c>
      <x:c r="D53" s="10"/>
      <x:c r="E53" s="10"/>
      <x:c r="F53" s="10"/>
      <x:c r="G53" s="10"/>
      <x:c r="H53" s="10"/>
      <x:c r="I53" s="2"/>
      <x:c r="J53" s="2"/>
      <x:c r="K53" s="2" t="str">
        <x:v>2030</x:v>
      </x:c>
      <x:c r="L53" s="10" t="n">
        <x:f>H18</x:f>
        <x:v>854.871739530653</x:v>
      </x:c>
      <x:c r="M53" s="10" t="n">
        <x:f>H21</x:f>
        <x:v>743.074177798104</x:v>
      </x:c>
      <x:c r="N53" s="2"/>
    </x:row>
    <x:row r="54" ht="23" customHeight="1">
      <x:c r="A54" s="2" t="str">
        <x:v>毛利变动 百万元</x:v>
      </x:c>
      <x:c r="B54" s="2"/>
      <x:c r="C54" s="10" t="n">
        <x:f>$C$11*((1-C51)*($C$13*(1+C49)-$C$15)+C51*($C$14*(1+C50)-$C$16))-$C$21</x:f>
        <x:v>-3.7864359864009316</x:v>
      </x:c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 t="str">
        <x:v>毛利Δ：列=高端量比</x:v>
      </x:c>
      <x:c r="B57" s="2"/>
      <x:c r="C57" s="10"/>
      <x:c r="D57" s="10" t="n">
        <x:f>C54</x:f>
        <x:v>-3.7864359864009316</x:v>
      </x:c>
      <x:c r="E57" s="18" t="n">
        <x:v>0.15</x:v>
      </x:c>
      <x:c r="F57" s="18" t="n">
        <x:v>0.2</x:v>
      </x:c>
      <x:c r="G57" s="18" t="n">
        <x:v>0.25</x:v>
      </x:c>
      <x:c r="H57" s="18" t="n">
        <x:v>0.3</x:v>
      </x:c>
      <x:c r="I57" s="18" t="n">
        <x:v>0.35</x:v>
      </x:c>
      <x:c r="J57" s="2"/>
      <x:c r="K57" s="2"/>
      <x:c r="L57" s="2"/>
      <x:c r="M57" s="2"/>
      <x:c r="N57" s="2"/>
    </x:row>
    <x:row r="58" ht="23" customHeight="1">
      <x:c r="A58" s="2" t="str">
        <x:v>行=基础价变动</x:v>
      </x:c>
      <x:c r="B58" s="2"/>
      <x:c r="C58" s="10"/>
      <x:c r="D58" s="18" t="n">
        <x:v>-0.05</x:v>
      </x:c>
      <x:c r="E58" s="10" t="n">
        <x:f t="dataTable" ref="E58:I61" dt2D="1" r1="C51" r2="C49"/>
        <x:v>-21.2710733024411</x:v>
      </x:c>
      <x:c r="F58" s="10" t="n">
        <x:v>22.3724544857026</x:v>
      </x:c>
      <x:c r="G58" s="10" t="n">
        <x:v>66.0159822738461</x:v>
      </x:c>
      <x:c r="H58" s="10" t="n">
        <x:v>109.6595100619898</x:v>
      </x:c>
      <x:c r="I58" s="10" t="n">
        <x:v>153.3030378501334</x:v>
      </x:c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8" t="n">
        <x:v>-0.1</x:v>
      </x:c>
      <x:c r="E59" s="10" t="n">
        <x:v>-40.694277632841</x:v>
      </x:c>
      <x:c r="F59" s="10" t="n">
        <x:v>4.0917915865026</x:v>
      </x:c>
      <x:c r="G59" s="10" t="n">
        <x:v>48.8778608058462</x:v>
      </x:c>
      <x:c r="H59" s="10" t="n">
        <x:v>93.6639300251898</x:v>
      </x:c>
      <x:c r="I59" s="10" t="n">
        <x:v>138.4499992445334</x:v>
      </x:c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8" t="n">
        <x:v>-0.15</x:v>
      </x:c>
      <x:c r="E60" s="10" t="n">
        <x:v>-60.1174819632411</x:v>
      </x:c>
      <x:c r="F60" s="10" t="n">
        <x:v>-14.1888713126974</x:v>
      </x:c>
      <x:c r="G60" s="10" t="n">
        <x:v>31.7397393378461</x:v>
      </x:c>
      <x:c r="H60" s="10" t="n">
        <x:v>77.6683499883897</x:v>
      </x:c>
      <x:c r="I60" s="10" t="n">
        <x:v>123.5969606389333</x:v>
      </x:c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8" t="n">
        <x:v>-0.2</x:v>
      </x:c>
      <x:c r="E61" s="10" t="n">
        <x:v>-79.540686293641</x:v>
      </x:c>
      <x:c r="F61" s="10" t="n">
        <x:v>-32.4695342118973</x:v>
      </x:c>
      <x:c r="G61" s="10" t="n">
        <x:v>14.6016178698461</x:v>
      </x:c>
      <x:c r="H61" s="10" t="n">
        <x:v>61.6727699515898</x:v>
      </x:c>
      <x:c r="I61" s="10" t="n">
        <x:v>108.7439220333333</x:v>
      </x:c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47:H47"/>
    <x:mergeCell ref="J6:N6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  <x:mergeCell ref="J35:N35"/>
    <x:mergeCell ref="J36:N36"/>
    <x:mergeCell ref="J37:N37"/>
    <x:mergeCell ref="J38:N38"/>
    <x:mergeCell ref="J39:N39"/>
    <x:mergeCell ref="J40:N40"/>
    <x:mergeCell ref="J41:N41"/>
    <x:mergeCell ref="J42:N42"/>
    <x:mergeCell ref="J43:N43"/>
    <x:mergeCell ref="J44:N44"/>
  </x:mergeCells>
  <x:conditionalFormatting sqref="E58:I61">
    <x:cfRule type="colorScale" priority="1">
      <x:colorScale>
        <x:cfvo type="min"/>
        <x:cfvo type="percentile" val="50"/>
        <x:cfvo type="max"/>
        <x:color rgb="FFF4C8BD"/>
        <x:color rgb="FFFFFFFF"/>
        <x:color rgb="FFA8DDD1"/>
      </x:colorScale>
    </x:cfRule>
  </x:conditionalFormatting>
  <x:pageMargins left="0.7" right="0.7" top="0.75" bottom="0.75" header="0.3" footer="0.3"/>
  <x:drawing xmlns:r="http://schemas.openxmlformats.org/officeDocument/2006/relationships" r:id="R866f8097a81f478f"/>
</x:worksheet>
</file>

<file path=xl/worksheets/sheet4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爱尔：手术收入与采购成本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手术量未披露：下方眼数为由假设单眼收入校准的等价量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10"/>
      <x:c r="D6" s="10"/>
      <x:c r="E6" s="10"/>
      <x:c r="F6" s="10"/>
      <x:c r="G6" s="10"/>
      <x:c r="H6" s="10"/>
      <x:c r="I6" s="2"/>
      <x:c r="J6" s="37"/>
      <x:c r="K6" s="37"/>
      <x:c r="L6" s="37"/>
      <x:c r="M6" s="37"/>
      <x:c r="N6" s="37"/>
    </x:row>
    <x:row r="7" ht="25" customHeight="1">
      <x:c r="A7" s="2" t="str">
        <x:v>白内障等价手术量 百万眼</x:v>
      </x:c>
      <x:c r="B7" s="2"/>
      <x:c r="C7" s="21" t="n">
        <x:f>Actuals!G13/((1-C8)*C9+C8*C10)</x:f>
        <x:v>0.537184057930502</x:v>
      </x:c>
      <x:c r="D7" s="21" t="n">
        <x:f>C7*(1+Assumptions!D82)*(1+Summary!$B$4)</x:f>
        <x:v>0.537184057930502</x:v>
      </x:c>
      <x:c r="E7" s="21" t="n">
        <x:f>D7*(1+Assumptions!E82)</x:f>
        <x:v>0.537184057930502</x:v>
      </x:c>
      <x:c r="F7" s="21" t="n">
        <x:f>E7*(1+Assumptions!F82)</x:f>
        <x:v>0.537184057930502</x:v>
      </x:c>
      <x:c r="G7" s="21" t="n">
        <x:f>F7*(1+Assumptions!G82)</x:f>
        <x:v>0.537184057930502</x:v>
      </x:c>
      <x:c r="H7" s="21" t="n">
        <x:f>G7*(1+Assumptions!H82)</x:f>
        <x:v>0.537184057930502</x:v>
      </x:c>
      <x:c r="I7" s="2"/>
      <x:c r="J7" s="37" t="str">
        <x:v>等价量并非年报披露的白内障眼数，不能用于市场份额。</x:v>
      </x:c>
      <x:c r="K7" s="37"/>
      <x:c r="L7" s="37"/>
      <x:c r="M7" s="37"/>
      <x:c r="N7" s="37"/>
    </x:row>
    <x:row r="8" ht="25" customHeight="1">
      <x:c r="A8" s="2" t="str">
        <x:v>高端眼数占比(假设)</x:v>
      </x:c>
      <x:c r="B8" s="2"/>
      <x:c r="C8" s="14" t="n">
        <x:v>0.15</x:v>
      </x:c>
      <x:c r="D8" s="41" t="n">
        <x:f>Assumptions!D87</x:f>
        <x:v>0.18</x:v>
      </x:c>
      <x:c r="E8" s="41" t="n">
        <x:f>Assumptions!E87</x:f>
        <x:v>0.21</x:v>
      </x:c>
      <x:c r="F8" s="41" t="n">
        <x:f>Assumptions!F87</x:f>
        <x:v>0.24</x:v>
      </x:c>
      <x:c r="G8" s="41" t="n">
        <x:f>Assumptions!G87</x:f>
        <x:v>0.27</x:v>
      </x:c>
      <x:c r="H8" s="41" t="n">
        <x:f>Assumptions!H87</x:f>
        <x:v>0.3</x:v>
      </x:c>
      <x:c r="I8" s="2"/>
      <x:c r="J8" s="37"/>
      <x:c r="K8" s="37"/>
      <x:c r="L8" s="37"/>
      <x:c r="M8" s="37"/>
      <x:c r="N8" s="37"/>
    </x:row>
    <x:row r="9" ht="25" customHeight="1">
      <x:c r="A9" s="2" t="str">
        <x:v>基础单眼总确认收入 元</x:v>
      </x:c>
      <x:c r="B9" s="2"/>
      <x:c r="C9" s="23" t="n">
        <x:v>5500</x:v>
      </x:c>
      <x:c r="D9" s="21" t="n">
        <x:f>C9*(1+Assumptions!D92)</x:f>
        <x:v>5335</x:v>
      </x:c>
      <x:c r="E9" s="21" t="n">
        <x:f>D9*(1+Assumptions!E92)</x:f>
        <x:v>5281.65</x:v>
      </x:c>
      <x:c r="F9" s="21" t="n">
        <x:f>E9*(1+Assumptions!F92)</x:f>
        <x:v>5281.65</x:v>
      </x:c>
      <x:c r="G9" s="21" t="n">
        <x:f>F9*(1+Assumptions!G92)</x:f>
        <x:v>5281.65</x:v>
      </x:c>
      <x:c r="H9" s="21" t="n">
        <x:f>G9*(1+Assumptions!H92)</x:f>
        <x:v>5281.65</x:v>
      </x:c>
      <x:c r="I9" s="2"/>
      <x:c r="J9" s="37"/>
      <x:c r="K9" s="37"/>
      <x:c r="L9" s="37"/>
      <x:c r="M9" s="37"/>
      <x:c r="N9" s="37"/>
    </x:row>
    <x:row r="10" ht="25" customHeight="1">
      <x:c r="A10" s="2" t="str">
        <x:v>高端单眼总确认收入 元</x:v>
      </x:c>
      <x:c r="B10" s="2"/>
      <x:c r="C10" s="23" t="n">
        <x:v>12000</x:v>
      </x:c>
      <x:c r="D10" s="21" t="n">
        <x:f>C10*(1+Assumptions!D97)</x:f>
        <x:v>12000</x:v>
      </x:c>
      <x:c r="E10" s="21" t="n">
        <x:f>D10*(1+Assumptions!E97)</x:f>
        <x:v>12000</x:v>
      </x:c>
      <x:c r="F10" s="21" t="n">
        <x:f>E10*(1+Assumptions!F97)</x:f>
        <x:v>12000</x:v>
      </x:c>
      <x:c r="G10" s="21" t="n">
        <x:f>F10*(1+Assumptions!G97)</x:f>
        <x:v>12000</x:v>
      </x:c>
      <x:c r="H10" s="21" t="n">
        <x:f>G10*(1+Assumptions!H97)</x:f>
        <x:v>12000</x:v>
      </x:c>
      <x:c r="I10" s="2"/>
      <x:c r="J10" s="37"/>
      <x:c r="K10" s="37"/>
      <x:c r="L10" s="37"/>
      <x:c r="M10" s="37"/>
      <x:c r="N10" s="37"/>
    </x:row>
    <x:row r="11" ht="25" customHeight="1">
      <x:c r="A11" s="2" t="str">
        <x:v>基础IOL医院采购 元</x:v>
      </x:c>
      <x:c r="B11" s="2"/>
      <x:c r="C11" s="23" t="n">
        <x:v>200</x:v>
      </x:c>
      <x:c r="D11" s="21" t="n">
        <x:f>C11*(1+Assumptions!D102)</x:f>
        <x:v>170</x:v>
      </x:c>
      <x:c r="E11" s="21" t="n">
        <x:f>D11*(1+Assumptions!E102)</x:f>
        <x:v>161.5</x:v>
      </x:c>
      <x:c r="F11" s="21" t="n">
        <x:f>E11*(1+Assumptions!F102)</x:f>
        <x:v>156.655</x:v>
      </x:c>
      <x:c r="G11" s="21" t="n">
        <x:f>F11*(1+Assumptions!G102)</x:f>
        <x:v>153.5219</x:v>
      </x:c>
      <x:c r="H11" s="21" t="n">
        <x:f>G11*(1+Assumptions!H102)</x:f>
        <x:v>150.451462</x:v>
      </x:c>
      <x:c r="I11" s="2"/>
      <x:c r="J11" s="37"/>
      <x:c r="K11" s="37"/>
      <x:c r="L11" s="37"/>
      <x:c r="M11" s="37"/>
      <x:c r="N11" s="37"/>
    </x:row>
    <x:row r="12" ht="25" customHeight="1">
      <x:c r="A12" s="2" t="str">
        <x:v>高端IOL医院采购 元</x:v>
      </x:c>
      <x:c r="B12" s="2"/>
      <x:c r="C12" s="23" t="n">
        <x:v>2000</x:v>
      </x:c>
      <x:c r="D12" s="21" t="n">
        <x:f>C12*(1+Assumptions!D107)</x:f>
        <x:v>1960</x:v>
      </x:c>
      <x:c r="E12" s="21" t="n">
        <x:f>D12*(1+Assumptions!E107)</x:f>
        <x:v>1920.8</x:v>
      </x:c>
      <x:c r="F12" s="21" t="n">
        <x:f>E12*(1+Assumptions!F107)</x:f>
        <x:v>1882.384</x:v>
      </x:c>
      <x:c r="G12" s="21" t="n">
        <x:f>F12*(1+Assumptions!G107)</x:f>
        <x:v>1844.73632</x:v>
      </x:c>
      <x:c r="H12" s="21" t="n">
        <x:f>G12*(1+Assumptions!H107)</x:f>
        <x:v>1807.8415936</x:v>
      </x:c>
      <x:c r="I12" s="2"/>
      <x:c r="J12" s="37"/>
      <x:c r="K12" s="37"/>
      <x:c r="L12" s="37"/>
      <x:c r="M12" s="37"/>
      <x:c r="N12" s="37"/>
    </x:row>
    <x:row r="13" ht="25" customHeight="1">
      <x:c r="A13" s="2" t="str">
        <x:v>其他单眼成本 元(校准)</x:v>
      </x:c>
      <x:c r="B13" s="2"/>
      <x:c r="C13" s="21" t="n">
        <x:f>Actuals!H13/C7-((1-C8)*C11+C8*C12)</x:f>
        <x:v>3836.8832035393725</x:v>
      </x:c>
      <x:c r="D13" s="21" t="n">
        <x:f>C13*(1+Assumptions!D112)</x:f>
        <x:v>3913.62086761016</x:v>
      </x:c>
      <x:c r="E13" s="21" t="n">
        <x:f>D13*(1+Assumptions!E112)</x:f>
        <x:v>3991.8932849623634</x:v>
      </x:c>
      <x:c r="F13" s="21" t="n">
        <x:f>E13*(1+Assumptions!F112)</x:f>
        <x:v>4071.7311506616106</x:v>
      </x:c>
      <x:c r="G13" s="21" t="n">
        <x:f>F13*(1+Assumptions!G112)</x:f>
        <x:v>4153.165773674843</x:v>
      </x:c>
      <x:c r="H13" s="21" t="n">
        <x:f>G13*(1+Assumptions!H112)</x:f>
        <x:v>4236.22908914834</x:v>
      </x:c>
      <x:c r="I13" s="2"/>
      <x:c r="J13" s="37" t="str">
        <x:v>基期成本校准整体实际成本，采购分层是假设。</x:v>
      </x:c>
      <x:c r="K13" s="37"/>
      <x:c r="L13" s="37"/>
      <x:c r="M13" s="37"/>
      <x:c r="N13" s="37"/>
    </x:row>
    <x:row r="14" ht="25" customHeight="1">
      <x:c r="A14" s="2"/>
      <x:c r="B14" s="2"/>
      <x:c r="C14" s="10"/>
      <x:c r="D14" s="10"/>
      <x:c r="E14" s="10"/>
      <x:c r="F14" s="10"/>
      <x:c r="G14" s="10"/>
      <x:c r="H14" s="10"/>
      <x:c r="I14" s="2"/>
      <x:c r="J14" s="37"/>
      <x:c r="K14" s="37"/>
      <x:c r="L14" s="37"/>
      <x:c r="M14" s="37"/>
      <x:c r="N14" s="37"/>
    </x:row>
    <x:row r="15" ht="25" customHeight="1">
      <x:c r="A15" s="2" t="str">
        <x:v>白内障收入</x:v>
      </x:c>
      <x:c r="B15" s="2"/>
      <x:c r="C15" s="10" t="n">
        <x:f>C7*((1-C8)*C9+C8*C10)</x:f>
        <x:v>3478.2667751</x:v>
      </x:c>
      <x:c r="D15" s="10" t="n">
        <x:f>D7*((1-D8)*D9+D8*D10)</x:f>
        <x:v>3510.3366633584515</x:v>
      </x:c>
      <x:c r="E15" s="10" t="n">
        <x:f>E7*((1-E8)*E9+E8*E10)</x:f>
        <x:v>3595.106187844087</x:v>
      </x:c>
      <x:c r="F15" s="10" t="n">
        <x:f>F7*((1-F8)*F9+F8*F10)</x:f>
        <x:v>3703.3759033120086</x:v>
      </x:c>
      <x:c r="G15" s="10" t="n">
        <x:f>G7*((1-G8)*G9+G8*G10)</x:f>
        <x:v>3811.64561877993</x:v>
      </x:c>
      <x:c r="H15" s="10" t="n">
        <x:f>H7*((1-H8)*H9+H8*H10)</x:f>
        <x:v>3919.915334247851</x:v>
      </x:c>
      <x:c r="I15" s="2"/>
      <x:c r="J15" s="37"/>
      <x:c r="K15" s="37"/>
      <x:c r="L15" s="37"/>
      <x:c r="M15" s="37"/>
      <x:c r="N15" s="37"/>
    </x:row>
    <x:row r="16" ht="25" customHeight="1">
      <x:c r="A16" s="2" t="str">
        <x:v>采购IOL成本</x:v>
      </x:c>
      <x:c r="B16" s="2"/>
      <x:c r="C16" s="10" t="n">
        <x:f>C7*((1-C8)*C11+C8*C12)</x:f>
        <x:v>252.4765072273359</x:v>
      </x:c>
      <x:c r="D16" s="10" t="n">
        <x:f>D7*((1-D8)*D11+D8*D12)</x:f>
        <x:v>264.40199331339306</x:v>
      </x:c>
      <x:c r="E16" s="10" t="n">
        <x:f>E7*((1-E8)*E11+E8*E12)</x:f>
        <x:v>285.2194871103738</x:v>
      </x:c>
      <x:c r="F16" s="10" t="n">
        <x:f>F7*((1-F8)*F11+F8*F12)</x:f>
        <x:v>306.64075430110614</x:v>
      </x:c>
      <x:c r="G16" s="10" t="n">
        <x:f>G7*((1-G8)*G11+G8*G12)</x:f>
        <x:v>327.7627419640694</x:v>
      </x:c>
      <x:c r="H16" s="10" t="n">
        <x:f>H7*((1-H8)*H11+H8*H12)</x:f>
        <x:v>347.91719381879363</x:v>
      </x:c>
      <x:c r="I16" s="2"/>
      <x:c r="J16" s="37"/>
      <x:c r="K16" s="37"/>
      <x:c r="L16" s="37"/>
      <x:c r="M16" s="37"/>
      <x:c r="N16" s="37"/>
    </x:row>
    <x:row r="17" ht="25" customHeight="1">
      <x:c r="A17" s="2" t="str">
        <x:v>其他诊疗成本</x:v>
      </x:c>
      <x:c r="B17" s="2"/>
      <x:c r="C17" s="10" t="n">
        <x:f>C7*C13</x:f>
        <x:v>2061.112489082664</x:v>
      </x:c>
      <x:c r="D17" s="10" t="n">
        <x:f>D7*D13</x:f>
        <x:v>2102.3347388643174</x:v>
      </x:c>
      <x:c r="E17" s="10" t="n">
        <x:f>E7*E13</x:f>
        <x:v>2144.381433641604</x:v>
      </x:c>
      <x:c r="F17" s="10" t="n">
        <x:f>F7*F13</x:f>
        <x:v>2187.269062314436</x:v>
      </x:c>
      <x:c r="G17" s="10" t="n">
        <x:f>G7*G13</x:f>
        <x:v>2231.014443560725</x:v>
      </x:c>
      <x:c r="H17" s="10" t="n">
        <x:f>H7*H13</x:f>
        <x:v>2275.6347324319395</x:v>
      </x:c>
      <x:c r="I17" s="2"/>
      <x:c r="J17" s="37"/>
      <x:c r="K17" s="37"/>
      <x:c r="L17" s="37"/>
      <x:c r="M17" s="37"/>
      <x:c r="N17" s="37"/>
    </x:row>
    <x:row r="18" ht="25" customHeight="1">
      <x:c r="A18" s="2" t="str">
        <x:v>白内障毛利额</x:v>
      </x:c>
      <x:c r="B18" s="2"/>
      <x:c r="C18" s="10" t="n">
        <x:f>C15-C16-C17</x:f>
        <x:v>1164.67777879</x:v>
      </x:c>
      <x:c r="D18" s="10" t="n">
        <x:f>D15-D16-D17</x:f>
        <x:v>1143.599931180741</x:v>
      </x:c>
      <x:c r="E18" s="10" t="n">
        <x:f>E15-E16-E17</x:f>
        <x:v>1165.505267092109</x:v>
      </x:c>
      <x:c r="F18" s="10" t="n">
        <x:f>F15-F16-F17</x:f>
        <x:v>1209.4660866964668</x:v>
      </x:c>
      <x:c r="G18" s="10" t="n">
        <x:f>G15-G16-G17</x:f>
        <x:v>1252.8684332551356</x:v>
      </x:c>
      <x:c r="H18" s="10" t="n">
        <x:f>H15-H16-H17</x:f>
        <x:v>1296.363407997118</x:v>
      </x:c>
      <x:c r="I18" s="2"/>
      <x:c r="J18" s="37"/>
      <x:c r="K18" s="37"/>
      <x:c r="L18" s="37"/>
      <x:c r="M18" s="37"/>
      <x:c r="N18" s="37"/>
    </x:row>
    <x:row r="19" ht="25" customHeight="1">
      <x:c r="A19" s="2" t="str">
        <x:v>白内障毛利率</x:v>
      </x:c>
      <x:c r="B19" s="2"/>
      <x:c r="C19" s="18" t="n">
        <x:f>C18/C15</x:f>
        <x:v>0.3348442928896722</x:v>
      </x:c>
      <x:c r="D19" s="18" t="n">
        <x:f>D18/D15</x:f>
        <x:v>0.3257806987910448</x:v>
      </x:c>
      <x:c r="E19" s="18" t="n">
        <x:f>E18/E15</x:f>
        <x:v>0.32419216740605905</x:v>
      </x:c>
      <x:c r="F19" s="18" t="n">
        <x:f>F18/F15</x:f>
        <x:v>0.32658474815230487</x:v>
      </x:c>
      <x:c r="G19" s="18" t="n">
        <x:f>G18/G15</x:f>
        <x:v>0.32869488891681553</x:v>
      </x:c>
      <x:c r="H19" s="18" t="n">
        <x:f>H18/H15</x:f>
        <x:v>0.3307120938737986</x:v>
      </x:c>
      <x:c r="I19" s="2"/>
      <x:c r="J19" s="37"/>
      <x:c r="K19" s="37"/>
      <x:c r="L19" s="37"/>
      <x:c r="M19" s="37"/>
      <x:c r="N19" s="37"/>
    </x:row>
    <x:row r="20" ht="25" customHeight="1">
      <x:c r="A20" s="2"/>
      <x:c r="B20" s="2"/>
      <x:c r="C20" s="10"/>
      <x:c r="D20" s="10"/>
      <x:c r="E20" s="10"/>
      <x:c r="F20" s="10"/>
      <x:c r="G20" s="10"/>
      <x:c r="H20" s="10"/>
      <x:c r="I20" s="2"/>
      <x:c r="J20" s="37"/>
      <x:c r="K20" s="37"/>
      <x:c r="L20" s="37"/>
      <x:c r="M20" s="37"/>
      <x:c r="N20" s="37"/>
    </x:row>
    <x:row r="21" ht="25" customHeight="1">
      <x:c r="A21" s="2" t="str">
        <x:v>增量期间费用 vs2025</x:v>
      </x:c>
      <x:c r="B21" s="2"/>
      <x:c r="C21" s="10" t="n">
        <x:v>0</x:v>
      </x:c>
      <x:c r="D21" s="21" t="n">
        <x:f>(D15-$C$15)*Assumptions!D117</x:f>
        <x:v>4.810483238767733</x:v>
      </x:c>
      <x:c r="E21" s="21" t="n">
        <x:f>(E15-$C$15)*Assumptions!E117</x:f>
        <x:v>17.525911911613047</x:v>
      </x:c>
      <x:c r="F21" s="21" t="n">
        <x:f>(F15-$C$15)*Assumptions!F117</x:f>
        <x:v>33.766369231801306</x:v>
      </x:c>
      <x:c r="G21" s="21" t="n">
        <x:f>(G15-$C$15)*Assumptions!G117</x:f>
        <x:v>50.0068265519895</x:v>
      </x:c>
      <x:c r="H21" s="21" t="n">
        <x:f>(H15-$C$15)*Assumptions!H117</x:f>
        <x:v>66.24728387217769</x:v>
      </x:c>
      <x:c r="I21" s="2"/>
      <x:c r="J21" s="37"/>
      <x:c r="K21" s="37"/>
      <x:c r="L21" s="37"/>
      <x:c r="M21" s="37"/>
      <x:c r="N21" s="37"/>
    </x:row>
    <x:row r="22" ht="25" customHeight="1">
      <x:c r="A22" s="2" t="str">
        <x:v>白内障增量归母贡献</x:v>
      </x:c>
      <x:c r="B22" s="2"/>
      <x:c r="C22" s="10" t="n">
        <x:v>0</x:v>
      </x:c>
      <x:c r="D22" s="10" t="n">
        <x:f>(D18-$C$18-D21)*(1-$C$33)*$C$34</x:f>
        <x:v>-16.50381091561714</x:v>
      </x:c>
      <x:c r="E22" s="10" t="n">
        <x:f>(E18-$C$18-E21)*(1-$C$33)*$C$34</x:f>
        <x:v>-10.645245051058808</x:v>
      </x:c>
      <x:c r="F22" s="10" t="n">
        <x:f>(F18-$C$18-F21)*(1-$C$33)*$C$34</x:f>
        <x:v>7.026485905099251</x:v>
      </x:c>
      <x:c r="G22" s="10" t="n">
        <x:f>(G18-$C$18-G21)*(1-$C$33)*$C$34</x:f>
        <x:v>24.342190294630633</x:v>
      </x:c>
      <x:c r="H22" s="10" t="n">
        <x:f>(H18-$C$18-H21)*(1-$C$33)*$C$34</x:f>
        <x:v>41.7169451510244</x:v>
      </x:c>
      <x:c r="I22" s="2"/>
      <x:c r="J22" s="37"/>
      <x:c r="K22" s="37"/>
      <x:c r="L22" s="37"/>
      <x:c r="M22" s="37"/>
      <x:c r="N22" s="37"/>
    </x:row>
    <x:row r="23" ht="25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37"/>
      <x:c r="K23" s="37"/>
      <x:c r="L23" s="37"/>
      <x:c r="M23" s="37"/>
      <x:c r="N23" s="37"/>
    </x:row>
    <x:row r="24" ht="25" customHeight="1">
      <x:c r="A24" s="2" t="str">
        <x:v>非白内障收入</x:v>
      </x:c>
      <x:c r="B24" s="2"/>
      <x:c r="C24" s="21" t="n">
        <x:f>Actuals!C13-Actuals!G13</x:f>
        <x:v>18874.337949769997</x:v>
      </x:c>
      <x:c r="D24" s="21" t="n">
        <x:f>C24*(1+Assumptions!D122)</x:f>
        <x:v>19440.5680882631</x:v>
      </x:c>
      <x:c r="E24" s="21" t="n">
        <x:f>D24*(1+Assumptions!E122)</x:f>
        <x:v>20023.785130910994</x:v>
      </x:c>
      <x:c r="F24" s="21" t="n">
        <x:f>E24*(1+Assumptions!F122)</x:f>
        <x:v>20624.498684838323</x:v>
      </x:c>
      <x:c r="G24" s="21" t="n">
        <x:f>F24*(1+Assumptions!G122)</x:f>
        <x:v>21243.233645383472</x:v>
      </x:c>
      <x:c r="H24" s="21" t="n">
        <x:f>G24*(1+Assumptions!H122)</x:f>
        <x:v>21880.530654744976</x:v>
      </x:c>
      <x:c r="I24" s="2"/>
      <x:c r="J24" s="37"/>
      <x:c r="K24" s="37"/>
      <x:c r="L24" s="37"/>
      <x:c r="M24" s="37"/>
      <x:c r="N24" s="37"/>
    </x:row>
    <x:row r="25" ht="25" customHeight="1">
      <x:c r="A25" s="2" t="str">
        <x:v>集团收入</x:v>
      </x:c>
      <x:c r="B25" s="2"/>
      <x:c r="C25" s="21" t="n">
        <x:f>Actuals!C13</x:f>
        <x:v>22352.604724869998</x:v>
      </x:c>
      <x:c r="D25" s="10" t="n">
        <x:f>D15+D24</x:f>
        <x:v>22950.90475162155</x:v>
      </x:c>
      <x:c r="E25" s="10" t="n">
        <x:f>E15+E24</x:f>
        <x:v>23618.89131875508</x:v>
      </x:c>
      <x:c r="F25" s="10" t="n">
        <x:f>F15+F24</x:f>
        <x:v>24327.87458815033</x:v>
      </x:c>
      <x:c r="G25" s="10" t="n">
        <x:f>G15+G24</x:f>
        <x:v>25054.879264163403</x:v>
      </x:c>
      <x:c r="H25" s="10" t="n">
        <x:f>H15+H24</x:f>
        <x:v>25800.445988992826</x:v>
      </x:c>
      <x:c r="I25" s="2"/>
      <x:c r="J25" s="37"/>
      <x:c r="K25" s="37"/>
      <x:c r="L25" s="37"/>
      <x:c r="M25" s="37"/>
      <x:c r="N25" s="37"/>
    </x:row>
    <x:row r="26" ht="25" customHeight="1">
      <x:c r="A26" s="2" t="str">
        <x:v>非白内障增量净利润</x:v>
      </x:c>
      <x:c r="B26" s="2"/>
      <x:c r="C26" s="10" t="n">
        <x:v>0</x:v>
      </x:c>
      <x:c r="D26" s="21" t="n">
        <x:f>(D24-$C$24)*Assumptions!D127</x:f>
        <x:v>84.93452077396523</x:v>
      </x:c>
      <x:c r="E26" s="21" t="n">
        <x:f>(E24-$C$24)*Assumptions!E127</x:f>
        <x:v>172.4170771711495</x:v>
      </x:c>
      <x:c r="F26" s="21" t="n">
        <x:f>(F24-$C$24)*Assumptions!F127</x:f>
        <x:v>262.5241102602489</x:v>
      </x:c>
      <x:c r="G26" s="21" t="n">
        <x:f>(G24-$C$24)*Assumptions!G127</x:f>
        <x:v>355.3343543420213</x:v>
      </x:c>
      <x:c r="H26" s="21" t="n">
        <x:f>(H24-$C$24)*Assumptions!H127</x:f>
        <x:v>450.92890574624687</x:v>
      </x:c>
      <x:c r="I26" s="2"/>
      <x:c r="J26" s="37"/>
      <x:c r="K26" s="37"/>
      <x:c r="L26" s="37"/>
      <x:c r="M26" s="37"/>
      <x:c r="N26" s="37"/>
    </x:row>
    <x:row r="27" ht="25" customHeight="1">
      <x:c r="A27" s="6" t="str">
        <x:v>集团条件扣非归母</x:v>
      </x:c>
      <x:c r="B27" s="6"/>
      <x:c r="C27" s="25" t="n">
        <x:f>Actuals!E13</x:f>
        <x:v>3140.71284549</x:v>
      </x:c>
      <x:c r="D27" s="24" t="n">
        <x:f>$C$27+D22+D26+D31</x:f>
        <x:v>2709.143555348348</x:v>
      </x:c>
      <x:c r="E27" s="24" t="n">
        <x:f>$C$27+E22+E26+E31</x:f>
        <x:v>2902.484677610091</x:v>
      </x:c>
      <x:c r="F27" s="24" t="n">
        <x:f>$C$27+F22+F26+F31</x:f>
        <x:v>3110.2634416553483</x:v>
      </x:c>
      <x:c r="G27" s="24" t="n">
        <x:f>$C$27+G22+G26+G31</x:f>
        <x:v>3320.389390126652</x:v>
      </x:c>
      <x:c r="H27" s="24" t="n">
        <x:f>$C$27+H22+H26+H31</x:f>
        <x:v>3533.3586963872713</x:v>
      </x:c>
      <x:c r="I27" s="2"/>
      <x:c r="J27" s="37" t="str">
        <x:v>H1扣非下滑25.75%；下方集团利润调整覆盖存量冲击，非白内障归因。</x:v>
      </x:c>
      <x:c r="K27" s="37"/>
      <x:c r="L27" s="37"/>
      <x:c r="M27" s="37"/>
      <x:c r="N27" s="37"/>
    </x:row>
    <x:row r="28" ht="25" customHeight="1">
      <x:c r="A28" s="6" t="str">
        <x:v>静态可比股本 百万</x:v>
      </x:c>
      <x:c r="B28" s="6"/>
      <x:c r="C28" s="24" t="n">
        <x:f>9281.000213</x:f>
        <x:v>9281.000213</x:v>
      </x:c>
      <x:c r="D28" s="24" t="n">
        <x:f>9281.000213</x:f>
        <x:v>9281.000213</x:v>
      </x:c>
      <x:c r="E28" s="24" t="n">
        <x:f>9281.000213</x:f>
        <x:v>9281.000213</x:v>
      </x:c>
      <x:c r="F28" s="24" t="n">
        <x:f>9281.000213</x:f>
        <x:v>9281.000213</x:v>
      </x:c>
      <x:c r="G28" s="24" t="n">
        <x:f>9281.000213</x:f>
        <x:v>9281.000213</x:v>
      </x:c>
      <x:c r="H28" s="24" t="n">
        <x:f>9281.000213</x:f>
        <x:v>9281.000213</x:v>
      </x:c>
      <x:c r="I28" s="2"/>
      <x:c r="J28" s="37" t="str">
        <x:v>股本已用2026-10-19完成注销后的92.810亿股。</x:v>
      </x:c>
      <x:c r="K28" s="37"/>
      <x:c r="L28" s="37"/>
      <x:c r="M28" s="37"/>
      <x:c r="N28" s="37"/>
    </x:row>
    <x:row r="29" ht="25" customHeight="1">
      <x:c r="A29" s="6" t="str">
        <x:v>集团条件EPS</x:v>
      </x:c>
      <x:c r="B29" s="6"/>
      <x:c r="C29" s="43" t="n">
        <x:f>C27/C28</x:f>
        <x:v>0.3384024106680623</x:v>
      </x:c>
      <x:c r="D29" s="43" t="n">
        <x:f>D27/D28</x:f>
        <x:v>0.2919021111058289</x:v>
      </x:c>
      <x:c r="E29" s="43" t="n">
        <x:f>E27/E28</x:f>
        <x:v>0.3127340384654392</x:v>
      </x:c>
      <x:c r="F29" s="43" t="n">
        <x:f>F27/F28</x:f>
        <x:v>0.33512157852326824</x:v>
      </x:c>
      <x:c r="G29" s="43" t="n">
        <x:f>G27/G28</x:f>
        <x:v>0.35776202067916624</x:v>
      </x:c>
      <x:c r="H29" s="43" t="n">
        <x:f>H27/H28</x:f>
        <x:v>0.38070882612825035</x:v>
      </x:c>
      <x:c r="I29" s="2"/>
      <x:c r="J29" s="37"/>
      <x:c r="K29" s="37"/>
      <x:c r="L29" s="37"/>
      <x:c r="M29" s="37"/>
      <x:c r="N29" s="37"/>
    </x:row>
    <x:row r="30" ht="25" customHeight="1">
      <x:c r="A30" s="6" t="str">
        <x:v>仅白内障增量EPS</x:v>
      </x:c>
      <x:c r="B30" s="6"/>
      <x:c r="C30" s="43" t="n">
        <x:v>0</x:v>
      </x:c>
      <x:c r="D30" s="43" t="n">
        <x:f>D22/D28</x:f>
        <x:v>-0.0017782362392902513</x:v>
      </x:c>
      <x:c r="E30" s="43" t="n">
        <x:f>E22/E28</x:f>
        <x:v>-0.0011469932988631868</x:v>
      </x:c>
      <x:c r="F30" s="43" t="n">
        <x:f>F22/F28</x:f>
        <x:v>0.0007570828298502973</x:v>
      </x:c>
      <x:c r="G30" s="43" t="n">
        <x:f>G22/G28</x:f>
        <x:v>0.002622798161402287</x:v>
      </x:c>
      <x:c r="H30" s="43" t="n">
        <x:f>H22/H28</x:f>
        <x:v>0.0044948760040529915</x:v>
      </x:c>
      <x:c r="I30" s="2"/>
      <x:c r="J30" s="37"/>
      <x:c r="K30" s="37"/>
      <x:c r="L30" s="37"/>
      <x:c r="M30" s="37"/>
      <x:c r="N30" s="37"/>
    </x:row>
    <x:row r="31" ht="25" customHeight="1">
      <x:c r="A31" s="2" t="str">
        <x:v>集团其他存量利润调整(假设)</x:v>
      </x:c>
      <x:c r="B31" s="2"/>
      <x:c r="C31" s="10" t="n">
        <x:v>0</x:v>
      </x:c>
      <x:c r="D31" s="21" t="n">
        <x:f>Assumptions!D132</x:f>
        <x:v>-500</x:v>
      </x:c>
      <x:c r="E31" s="21" t="n">
        <x:f>Assumptions!E132</x:f>
        <x:v>-400</x:v>
      </x:c>
      <x:c r="F31" s="21" t="n">
        <x:f>Assumptions!F132</x:f>
        <x:v>-300</x:v>
      </x:c>
      <x:c r="G31" s="21" t="n">
        <x:f>Assumptions!G132</x:f>
        <x:v>-200</x:v>
      </x:c>
      <x:c r="H31" s="21" t="n">
        <x:f>Assumptions!H132</x:f>
        <x:v>-100</x:v>
      </x:c>
      <x:c r="I31" s="2"/>
      <x:c r="J31" s="37"/>
      <x:c r="K31" s="37"/>
      <x:c r="L31" s="37"/>
      <x:c r="M31" s="37"/>
      <x:c r="N31" s="37"/>
    </x:row>
    <x:row r="32" ht="25" customHeight="1">
      <x:c r="A32" s="2" t="str">
        <x:v>已披露2026H1扣非同比变化</x:v>
      </x:c>
      <x:c r="B32" s="2"/>
      <x:c r="C32" s="21" t="n">
        <x:f>Actuals!E15-Actuals!E14</x:f>
        <x:v>-525.34215561</x:v>
      </x:c>
      <x:c r="D32" s="10"/>
      <x:c r="E32" s="10"/>
      <x:c r="F32" s="10"/>
      <x:c r="G32" s="10"/>
      <x:c r="H32" s="10"/>
      <x:c r="I32" s="2"/>
      <x:c r="J32" s="37"/>
      <x:c r="K32" s="37"/>
      <x:c r="L32" s="37"/>
      <x:c r="M32" s="37"/>
      <x:c r="N32" s="37"/>
    </x:row>
    <x:row r="33" ht="25" customHeight="1">
      <x:c r="A33" s="2" t="str">
        <x:v>税率假设</x:v>
      </x:c>
      <x:c r="B33" s="2"/>
      <x:c r="C33" s="14" t="n">
        <x:v>0.25</x:v>
      </x:c>
      <x:c r="D33" s="18"/>
      <x:c r="E33" s="18"/>
      <x:c r="F33" s="18"/>
      <x:c r="G33" s="18"/>
      <x:c r="H33" s="18"/>
      <x:c r="I33" s="2"/>
      <x:c r="J33" s="37"/>
      <x:c r="K33" s="37"/>
      <x:c r="L33" s="37"/>
      <x:c r="M33" s="37"/>
      <x:c r="N33" s="37"/>
    </x:row>
    <x:row r="34" ht="25" customHeight="1">
      <x:c r="A34" s="2" t="str">
        <x:v>利润归母比例假设</x:v>
      </x:c>
      <x:c r="B34" s="2"/>
      <x:c r="C34" s="14" t="n">
        <x:v>0.85</x:v>
      </x:c>
      <x:c r="D34" s="18"/>
      <x:c r="E34" s="18"/>
      <x:c r="F34" s="18"/>
      <x:c r="G34" s="18"/>
      <x:c r="H34" s="18"/>
      <x:c r="I34" s="2"/>
      <x:c r="J34" s="37"/>
      <x:c r="K34" s="37"/>
      <x:c r="L34" s="37"/>
      <x:c r="M34" s="37"/>
      <x:c r="N34" s="37"/>
    </x:row>
    <x:row r="35" ht="25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37"/>
      <x:c r="K35" s="37"/>
      <x:c r="L35" s="37"/>
      <x:c r="M35" s="37"/>
      <x:c r="N35" s="37"/>
    </x:row>
    <x:row r="36" ht="25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37"/>
      <x:c r="K36" s="37"/>
      <x:c r="L36" s="37"/>
      <x:c r="M36" s="37"/>
      <x:c r="N36" s="37"/>
    </x:row>
    <x:row r="37" ht="25" customHeight="1">
      <x:c r="A37" s="2"/>
      <x:c r="B37" s="2"/>
      <x:c r="C37" s="10"/>
      <x:c r="D37" s="10"/>
      <x:c r="E37" s="10"/>
      <x:c r="F37" s="10"/>
      <x:c r="G37" s="10"/>
      <x:c r="H37" s="10"/>
      <x:c r="I37" s="2"/>
      <x:c r="J37" s="37"/>
      <x:c r="K37" s="37"/>
      <x:c r="L37" s="37"/>
      <x:c r="M37" s="37"/>
      <x:c r="N37" s="37"/>
    </x:row>
    <x:row r="38" ht="25" customHeight="1">
      <x:c r="A38" s="2"/>
      <x:c r="B38" s="2"/>
      <x:c r="C38" s="10"/>
      <x:c r="D38" s="10"/>
      <x:c r="E38" s="10"/>
      <x:c r="F38" s="10"/>
      <x:c r="G38" s="10"/>
      <x:c r="H38" s="10"/>
      <x:c r="I38" s="2"/>
      <x:c r="J38" s="37"/>
      <x:c r="K38" s="37"/>
      <x:c r="L38" s="37"/>
      <x:c r="M38" s="37"/>
      <x:c r="N38" s="37"/>
    </x:row>
    <x:row r="39" ht="25" customHeight="1">
      <x:c r="A39" s="2"/>
      <x:c r="B39" s="2"/>
      <x:c r="C39" s="10"/>
      <x:c r="D39" s="10"/>
      <x:c r="E39" s="10"/>
      <x:c r="F39" s="10"/>
      <x:c r="G39" s="10"/>
      <x:c r="H39" s="10"/>
      <x:c r="I39" s="2"/>
      <x:c r="J39" s="37"/>
      <x:c r="K39" s="37"/>
      <x:c r="L39" s="37"/>
      <x:c r="M39" s="37"/>
      <x:c r="N39" s="37"/>
    </x:row>
    <x:row r="40" ht="25" customHeight="1">
      <x:c r="A40" s="2"/>
      <x:c r="B40" s="2"/>
      <x:c r="C40" s="10"/>
      <x:c r="D40" s="10"/>
      <x:c r="E40" s="10"/>
      <x:c r="F40" s="10"/>
      <x:c r="G40" s="10"/>
      <x:c r="H40" s="10"/>
      <x:c r="I40" s="2"/>
      <x:c r="J40" s="37"/>
      <x:c r="K40" s="37"/>
      <x:c r="L40" s="37"/>
      <x:c r="M40" s="37"/>
      <x:c r="N40" s="37"/>
    </x:row>
    <x:row r="41" ht="25" customHeight="1">
      <x:c r="A41" s="2"/>
      <x:c r="B41" s="2"/>
      <x:c r="C41" s="10"/>
      <x:c r="D41" s="10"/>
      <x:c r="E41" s="10"/>
      <x:c r="F41" s="10"/>
      <x:c r="G41" s="10"/>
      <x:c r="H41" s="10"/>
      <x:c r="I41" s="2"/>
      <x:c r="J41" s="37"/>
      <x:c r="K41" s="37"/>
      <x:c r="L41" s="37"/>
      <x:c r="M41" s="37"/>
      <x:c r="N41" s="37"/>
    </x:row>
    <x:row r="42" ht="25" customHeight="1">
      <x:c r="A42" s="2"/>
      <x:c r="B42" s="2"/>
      <x:c r="C42" s="10"/>
      <x:c r="D42" s="10"/>
      <x:c r="E42" s="10"/>
      <x:c r="F42" s="10"/>
      <x:c r="G42" s="10"/>
      <x:c r="H42" s="10"/>
      <x:c r="I42" s="2"/>
      <x:c r="J42" s="37"/>
      <x:c r="K42" s="37"/>
      <x:c r="L42" s="37"/>
      <x:c r="M42" s="37"/>
      <x:c r="N42" s="37"/>
    </x:row>
    <x:row r="43" ht="25" customHeight="1">
      <x:c r="A43" s="2"/>
      <x:c r="B43" s="2"/>
      <x:c r="C43" s="10"/>
      <x:c r="D43" s="10"/>
      <x:c r="E43" s="10"/>
      <x:c r="F43" s="10"/>
      <x:c r="G43" s="10"/>
      <x:c r="H43" s="10"/>
      <x:c r="I43" s="2"/>
      <x:c r="J43" s="37"/>
      <x:c r="K43" s="37"/>
      <x:c r="L43" s="37"/>
      <x:c r="M43" s="37"/>
      <x:c r="N43" s="37"/>
    </x:row>
    <x:row r="44" ht="25" customHeight="1">
      <x:c r="A44" s="2"/>
      <x:c r="B44" s="2"/>
      <x:c r="C44" s="10"/>
      <x:c r="D44" s="10"/>
      <x:c r="E44" s="10"/>
      <x:c r="F44" s="10"/>
      <x:c r="G44" s="10"/>
      <x:c r="H44" s="10"/>
      <x:c r="I44" s="2"/>
      <x:c r="J44" s="37"/>
      <x:c r="K44" s="37"/>
      <x:c r="L44" s="37"/>
      <x:c r="M44" s="37"/>
      <x:c r="N44" s="37"/>
    </x:row>
    <x:row r="45" ht="23" customHeight="1">
      <x:c r="A45" s="2"/>
      <x:c r="B45" s="2"/>
      <x:c r="C45" s="10"/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10"/>
      <x:c r="D47" s="10"/>
      <x:c r="E47" s="10"/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10"/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J6:N6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  <x:mergeCell ref="J35:N35"/>
    <x:mergeCell ref="J36:N36"/>
    <x:mergeCell ref="J37:N37"/>
    <x:mergeCell ref="J38:N38"/>
    <x:mergeCell ref="J39:N39"/>
    <x:mergeCell ref="J40:N40"/>
    <x:mergeCell ref="J41:N41"/>
    <x:mergeCell ref="J42:N42"/>
    <x:mergeCell ref="J43:N43"/>
    <x:mergeCell ref="J44:N4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助听器与渐进镜片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可孚：品类销售 ≠ 健耳实体净利。明月：渐进基数为未知敞口假设。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10"/>
      <x:c r="D6" s="10"/>
      <x:c r="E6" s="10"/>
      <x:c r="F6" s="10"/>
      <x:c r="G6" s="10"/>
      <x:c r="H6" s="10"/>
      <x:c r="I6" s="2"/>
      <x:c r="J6" s="37"/>
      <x:c r="K6" s="37"/>
      <x:c r="L6" s="37"/>
      <x:c r="M6" s="37"/>
      <x:c r="N6" s="37"/>
    </x:row>
    <x:row r="7" ht="25" customHeight="1">
      <x:c r="A7" s="2" t="str">
        <x:v>听力销量 百万台</x:v>
      </x:c>
      <x:c r="B7" s="2"/>
      <x:c r="C7" s="23" t="n">
        <x:v>0.21</x:v>
      </x:c>
      <x:c r="D7" s="21" t="n">
        <x:f>C7*(1+Assumptions!D137)*(1+Summary!$B$4)</x:f>
        <x:v>0.252</x:v>
      </x:c>
      <x:c r="E7" s="21" t="n">
        <x:f>D7*(1+Assumptions!E137)</x:f>
        <x:v>0.3024</x:v>
      </x:c>
      <x:c r="F7" s="21" t="n">
        <x:f>E7*(1+Assumptions!F137)</x:f>
        <x:v>0.36288</x:v>
      </x:c>
      <x:c r="G7" s="21" t="n">
        <x:f>F7*(1+Assumptions!G137)</x:f>
        <x:v>0.43545599999999995</x:v>
      </x:c>
      <x:c r="H7" s="21" t="n">
        <x:f>G7*(1+Assumptions!H137)</x:f>
        <x:v>0.5225471999999999</x:v>
      </x:c>
      <x:c r="I7" s="2"/>
      <x:c r="J7" s="37"/>
      <x:c r="K7" s="37"/>
      <x:c r="L7" s="37"/>
      <x:c r="M7" s="37"/>
      <x:c r="N7" s="37"/>
    </x:row>
    <x:row r="8" ht="25" customHeight="1">
      <x:c r="A8" s="2" t="str">
        <x:v>混合厂商ASP 元</x:v>
      </x:c>
      <x:c r="B8" s="2"/>
      <x:c r="C8" s="10" t="n">
        <x:f>C9/C7</x:f>
        <x:v>1547.6190476190477</x:v>
      </x:c>
      <x:c r="D8" s="21" t="n">
        <x:f>C8*(1+Assumptions!D142)</x:f>
        <x:v>1501.1904761904761</x:v>
      </x:c>
      <x:c r="E8" s="21" t="n">
        <x:f>D8*(1+Assumptions!E142)</x:f>
        <x:v>1456.154761904762</x:v>
      </x:c>
      <x:c r="F8" s="21" t="n">
        <x:f>E8*(1+Assumptions!F142)</x:f>
        <x:v>1412.470119047619</x:v>
      </x:c>
      <x:c r="G8" s="21" t="n">
        <x:f>F8*(1+Assumptions!G142)</x:f>
        <x:v>1370.0960154761904</x:v>
      </x:c>
      <x:c r="H8" s="21" t="n">
        <x:f>G8*(1+Assumptions!H142)</x:f>
        <x:v>1328.9931350119045</x:v>
      </x:c>
      <x:c r="I8" s="2"/>
      <x:c r="J8" s="37"/>
      <x:c r="K8" s="37"/>
      <x:c r="L8" s="37"/>
      <x:c r="M8" s="37"/>
      <x:c r="N8" s="37"/>
    </x:row>
    <x:row r="9" ht="25" customHeight="1">
      <x:c r="A9" s="2" t="str">
        <x:v>听力收入</x:v>
      </x:c>
      <x:c r="B9" s="2"/>
      <x:c r="C9" s="23" t="n">
        <x:v>325</x:v>
      </x:c>
      <x:c r="D9" s="10" t="n">
        <x:f>D7*D8</x:f>
        <x:v>378.3</x:v>
      </x:c>
      <x:c r="E9" s="10" t="n">
        <x:f>E7*E8</x:f>
        <x:v>440.3412</x:v>
      </x:c>
      <x:c r="F9" s="10" t="n">
        <x:f>F7*F8</x:f>
        <x:v>512.5571567999999</x:v>
      </x:c>
      <x:c r="G9" s="10" t="n">
        <x:f>G7*G8</x:f>
        <x:v>596.6165305151999</x:v>
      </x:c>
      <x:c r="H9" s="10" t="n">
        <x:f>H7*H8</x:f>
        <x:v>694.4616415196925</x:v>
      </x:c>
      <x:c r="I9" s="2"/>
      <x:c r="J9" s="37"/>
      <x:c r="K9" s="37"/>
      <x:c r="L9" s="37"/>
      <x:c r="M9" s="37"/>
      <x:c r="N9" s="37"/>
    </x:row>
    <x:row r="10" ht="25" customHeight="1">
      <x:c r="A10" s="2" t="str">
        <x:v>听力毛利率(假设)</x:v>
      </x:c>
      <x:c r="B10" s="2"/>
      <x:c r="C10" s="14" t="n">
        <x:v>0.65</x:v>
      </x:c>
      <x:c r="D10" s="41" t="n">
        <x:f>Assumptions!D147</x:f>
        <x:v>0.65</x:v>
      </x:c>
      <x:c r="E10" s="41" t="n">
        <x:f>Assumptions!E147</x:f>
        <x:v>0.65</x:v>
      </x:c>
      <x:c r="F10" s="41" t="n">
        <x:f>Assumptions!F147</x:f>
        <x:v>0.65</x:v>
      </x:c>
      <x:c r="G10" s="41" t="n">
        <x:f>Assumptions!G147</x:f>
        <x:v>0.65</x:v>
      </x:c>
      <x:c r="H10" s="41" t="n">
        <x:f>Assumptions!H147</x:f>
        <x:v>0.65</x:v>
      </x:c>
      <x:c r="I10" s="2"/>
      <x:c r="J10" s="37"/>
      <x:c r="K10" s="37"/>
      <x:c r="L10" s="37"/>
      <x:c r="M10" s="37"/>
      <x:c r="N10" s="37"/>
    </x:row>
    <x:row r="11" ht="25" customHeight="1">
      <x:c r="A11" s="2" t="str">
        <x:v>听力毛利额</x:v>
      </x:c>
      <x:c r="B11" s="2"/>
      <x:c r="C11" s="10" t="n">
        <x:f>C9*C10</x:f>
        <x:v>211.25</x:v>
      </x:c>
      <x:c r="D11" s="10" t="n">
        <x:f>D9*D10</x:f>
        <x:v>245.895</x:v>
      </x:c>
      <x:c r="E11" s="10" t="n">
        <x:f>E9*E10</x:f>
        <x:v>286.22178</x:v>
      </x:c>
      <x:c r="F11" s="10" t="n">
        <x:f>F9*F10</x:f>
        <x:v>333.16215192</x:v>
      </x:c>
      <x:c r="G11" s="10" t="n">
        <x:f>G9*G10</x:f>
        <x:v>387.80074483487994</x:v>
      </x:c>
      <x:c r="H11" s="10" t="n">
        <x:f>H9*H10</x:f>
        <x:v>451.4000669878002</x:v>
      </x:c>
      <x:c r="I11" s="2"/>
      <x:c r="J11" s="37"/>
      <x:c r="K11" s="37"/>
      <x:c r="L11" s="37"/>
      <x:c r="M11" s="37"/>
      <x:c r="N11" s="37"/>
    </x:row>
    <x:row r="12" ht="25" customHeight="1">
      <x:c r="A12" s="2" t="str">
        <x:v>毛利增量被费用消耗比例</x:v>
      </x:c>
      <x:c r="B12" s="2"/>
      <x:c r="C12" s="18"/>
      <x:c r="D12" s="41" t="n">
        <x:f>Assumptions!D152</x:f>
        <x:v>0.65</x:v>
      </x:c>
      <x:c r="E12" s="41" t="n">
        <x:f>Assumptions!E152</x:f>
        <x:v>0.65</x:v>
      </x:c>
      <x:c r="F12" s="41" t="n">
        <x:f>Assumptions!F152</x:f>
        <x:v>0.65</x:v>
      </x:c>
      <x:c r="G12" s="41" t="n">
        <x:f>Assumptions!G152</x:f>
        <x:v>0.65</x:v>
      </x:c>
      <x:c r="H12" s="41" t="n">
        <x:f>Assumptions!H152</x:f>
        <x:v>0.65</x:v>
      </x:c>
      <x:c r="I12" s="2"/>
      <x:c r="J12" s="37"/>
      <x:c r="K12" s="37"/>
      <x:c r="L12" s="37"/>
      <x:c r="M12" s="37"/>
      <x:c r="N12" s="37"/>
    </x:row>
    <x:row r="13" ht="25" customHeight="1">
      <x:c r="A13" s="2" t="str">
        <x:v>累计新增固定费用</x:v>
      </x:c>
      <x:c r="B13" s="2"/>
      <x:c r="C13" s="10" t="n">
        <x:v>0</x:v>
      </x:c>
      <x:c r="D13" s="21" t="n">
        <x:f>C13+Assumptions!D157</x:f>
        <x:v>4</x:v>
      </x:c>
      <x:c r="E13" s="21" t="n">
        <x:f>D13+Assumptions!E157</x:f>
        <x:v>8</x:v>
      </x:c>
      <x:c r="F13" s="21" t="n">
        <x:f>E13+Assumptions!F157</x:f>
        <x:v>12</x:v>
      </x:c>
      <x:c r="G13" s="21" t="n">
        <x:f>F13+Assumptions!G157</x:f>
        <x:v>16</x:v>
      </x:c>
      <x:c r="H13" s="21" t="n">
        <x:f>G13+Assumptions!H157</x:f>
        <x:v>20</x:v>
      </x:c>
      <x:c r="I13" s="2"/>
      <x:c r="J13" s="37"/>
      <x:c r="K13" s="37"/>
      <x:c r="L13" s="37"/>
      <x:c r="M13" s="37"/>
      <x:c r="N13" s="37"/>
    </x:row>
    <x:row r="14" ht="25" customHeight="1">
      <x:c r="A14" s="2" t="str">
        <x:v>听力税后增量 vs2025</x:v>
      </x:c>
      <x:c r="B14" s="2"/>
      <x:c r="C14" s="10" t="n">
        <x:v>0</x:v>
      </x:c>
      <x:c r="D14" s="10" t="n">
        <x:f>((D11-$C$11)*(1-D12)-D13)*(1-$C$25)</x:f>
        <x:v>6.500600000000003</x:v>
      </x:c>
      <x:c r="E14" s="10" t="n">
        <x:f>((E11-$C$11)*(1-E12)-E13)*(1-$C$25)</x:f>
        <x:v>14.592098400000006</x:v>
      </x:c>
      <x:c r="F14" s="10" t="n">
        <x:f>((F11-$C$11)*(1-F12)-F13)*(1-$C$25)</x:f>
        <x:v>24.535402537599992</x:v>
      </x:c>
      <x:c r="G14" s="10" t="n">
        <x:f>((G11-$C$11)*(1-G12)-G13)*(1-$C$25)</x:f>
        <x:v>36.63420855376638</x:v>
      </x:c>
      <x:c r="H14" s="10" t="n">
        <x:f>((H11-$C$11)*(1-H12)-H13)*(1-$C$25)</x:f>
        <x:v>51.24201875658405</x:v>
      </x:c>
      <x:c r="I14" s="2"/>
      <x:c r="J14" s="37"/>
      <x:c r="K14" s="37"/>
      <x:c r="L14" s="37"/>
      <x:c r="M14" s="37"/>
      <x:c r="N14" s="37"/>
    </x:row>
    <x:row r="15" ht="25" customHeight="1">
      <x:c r="A15" s="2"/>
      <x:c r="B15" s="2"/>
      <x:c r="C15" s="10"/>
      <x:c r="D15" s="10"/>
      <x:c r="E15" s="10"/>
      <x:c r="F15" s="10"/>
      <x:c r="G15" s="10"/>
      <x:c r="H15" s="10"/>
      <x:c r="I15" s="2"/>
      <x:c r="J15" s="37"/>
      <x:c r="K15" s="37"/>
      <x:c r="L15" s="37"/>
      <x:c r="M15" s="37"/>
      <x:c r="N15" s="37"/>
    </x:row>
    <x:row r="16" ht="25" customHeight="1">
      <x:c r="A16" s="2" t="str">
        <x:v>其他业务收入</x:v>
      </x:c>
      <x:c r="B16" s="2"/>
      <x:c r="C16" s="21" t="n">
        <x:f>Actuals!C18-C9</x:f>
        <x:v>3062.4992532399997</x:v>
      </x:c>
      <x:c r="D16" s="21" t="n">
        <x:f>C16*(1+Assumptions!D162)</x:f>
        <x:v>3215.624215902</x:v>
      </x:c>
      <x:c r="E16" s="21" t="n">
        <x:f>D16*(1+Assumptions!E162)</x:f>
        <x:v>3376.4054266970998</x:v>
      </x:c>
      <x:c r="F16" s="21" t="n">
        <x:f>E16*(1+Assumptions!F162)</x:f>
        <x:v>3545.225698031955</x:v>
      </x:c>
      <x:c r="G16" s="21" t="n">
        <x:f>F16*(1+Assumptions!G162)</x:f>
        <x:v>3722.4869829335526</x:v>
      </x:c>
      <x:c r="H16" s="21" t="n">
        <x:f>G16*(1+Assumptions!H162)</x:f>
        <x:v>3908.6113320802306</x:v>
      </x:c>
      <x:c r="I16" s="2"/>
      <x:c r="J16" s="37"/>
      <x:c r="K16" s="37"/>
      <x:c r="L16" s="37"/>
      <x:c r="M16" s="37"/>
      <x:c r="N16" s="37"/>
    </x:row>
    <x:row r="17" ht="25" customHeight="1">
      <x:c r="A17" s="2" t="str">
        <x:v>集团收入</x:v>
      </x:c>
      <x:c r="B17" s="2"/>
      <x:c r="C17" s="21" t="n">
        <x:f>Actuals!C18</x:f>
        <x:v>3387.4992532399997</x:v>
      </x:c>
      <x:c r="D17" s="10" t="n">
        <x:f>D9+D16</x:f>
        <x:v>3593.924215902</x:v>
      </x:c>
      <x:c r="E17" s="10" t="n">
        <x:f>E9+E16</x:f>
        <x:v>3816.7466266970996</x:v>
      </x:c>
      <x:c r="F17" s="10" t="n">
        <x:f>F9+F16</x:f>
        <x:v>4057.782854831955</x:v>
      </x:c>
      <x:c r="G17" s="10" t="n">
        <x:f>G9+G16</x:f>
        <x:v>4319.103513448752</x:v>
      </x:c>
      <x:c r="H17" s="10" t="n">
        <x:f>H9+H16</x:f>
        <x:v>4603.072973599923</x:v>
      </x:c>
      <x:c r="I17" s="2"/>
      <x:c r="J17" s="37"/>
      <x:c r="K17" s="37"/>
      <x:c r="L17" s="37"/>
      <x:c r="M17" s="37"/>
      <x:c r="N17" s="37"/>
    </x:row>
    <x:row r="18" ht="25" customHeight="1">
      <x:c r="A18" s="2" t="str">
        <x:v>其他业务增量净利</x:v>
      </x:c>
      <x:c r="B18" s="2"/>
      <x:c r="C18" s="10" t="n">
        <x:v>0</x:v>
      </x:c>
      <x:c r="D18" s="21" t="n">
        <x:f>(D16-$C$16)*Assumptions!D167</x:f>
        <x:v>12.249997012960012</x:v>
      </x:c>
      <x:c r="E18" s="21" t="n">
        <x:f>(E16-$C$16)*Assumptions!E167</x:f>
        <x:v>25.112493876568006</x:v>
      </x:c>
      <x:c r="F18" s="21" t="n">
        <x:f>(F16-$C$16)*Assumptions!F167</x:f>
        <x:v>38.61811558335641</x:v>
      </x:c>
      <x:c r="G18" s="21" t="n">
        <x:f>(G16-$C$16)*Assumptions!G167</x:f>
        <x:v>52.79901837548423</x:v>
      </x:c>
      <x:c r="H18" s="21" t="n">
        <x:f>(H16-$C$16)*Assumptions!H167</x:f>
        <x:v>67.68896630721846</x:v>
      </x:c>
      <x:c r="I18" s="2"/>
      <x:c r="J18" s="37"/>
      <x:c r="K18" s="37"/>
      <x:c r="L18" s="37"/>
      <x:c r="M18" s="37"/>
      <x:c r="N18" s="37"/>
    </x:row>
    <x:row r="19" ht="25" customHeight="1">
      <x:c r="A19" s="2" t="str">
        <x:v>集团条件扣非归母</x:v>
      </x:c>
      <x:c r="B19" s="2"/>
      <x:c r="C19" s="21" t="n">
        <x:f>Actuals!E18</x:f>
        <x:v>297.96567328</x:v>
      </x:c>
      <x:c r="D19" s="10" t="n">
        <x:f>$C$19+D14+D18</x:f>
        <x:v>316.71627029296</x:v>
      </x:c>
      <x:c r="E19" s="10" t="n">
        <x:f>$C$19+E14+E18</x:f>
        <x:v>337.670265556568</x:v>
      </x:c>
      <x:c r="F19" s="10" t="n">
        <x:f>$C$19+F14+F18</x:f>
        <x:v>361.11919140095637</x:v>
      </x:c>
      <x:c r="G19" s="10" t="n">
        <x:f>$C$19+G14+G18</x:f>
        <x:v>387.3989002092506</x:v>
      </x:c>
      <x:c r="H19" s="10" t="n">
        <x:f>$C$19+H14+H18</x:f>
        <x:v>416.8966583438025</x:v>
      </x:c>
      <x:c r="I19" s="2"/>
      <x:c r="J19" s="37"/>
      <x:c r="K19" s="37"/>
      <x:c r="L19" s="37"/>
      <x:c r="M19" s="37"/>
      <x:c r="N19" s="37"/>
    </x:row>
    <x:row r="20" ht="25" customHeight="1">
      <x:c r="A20" s="2" t="str">
        <x:v>静态股本扣已知库存股 百万</x:v>
      </x:c>
      <x:c r="B20" s="2"/>
      <x:c r="C20" s="10" t="n">
        <x:f>235.897-8.767681</x:f>
        <x:v>227.12931899999998</x:v>
      </x:c>
      <x:c r="D20" s="10" t="n">
        <x:f>235.897-8.767681</x:f>
        <x:v>227.12931899999998</x:v>
      </x:c>
      <x:c r="E20" s="10" t="n">
        <x:f>235.897-8.767681</x:f>
        <x:v>227.12931899999998</x:v>
      </x:c>
      <x:c r="F20" s="10" t="n">
        <x:f>235.897-8.767681</x:f>
        <x:v>227.12931899999998</x:v>
      </x:c>
      <x:c r="G20" s="10" t="n">
        <x:f>235.897-8.767681</x:f>
        <x:v>227.12931899999998</x:v>
      </x:c>
      <x:c r="H20" s="10" t="n">
        <x:f>235.897-8.767681</x:f>
        <x:v>227.12931899999998</x:v>
      </x:c>
      <x:c r="I20" s="2"/>
      <x:c r="J20" s="37"/>
      <x:c r="K20" s="37"/>
      <x:c r="L20" s="37"/>
      <x:c r="M20" s="37"/>
      <x:c r="N20" s="37"/>
    </x:row>
    <x:row r="21" ht="25" customHeight="1">
      <x:c r="A21" s="2" t="str">
        <x:v>集团条件EPS</x:v>
      </x:c>
      <x:c r="B21" s="2"/>
      <x:c r="C21" s="42" t="n">
        <x:f>C19/C20</x:f>
        <x:v>1.3118767519397176</x:v>
      </x:c>
      <x:c r="D21" s="42" t="n">
        <x:f>D19/D20</x:f>
        <x:v>1.3944314705269734</x:v>
      </x:c>
      <x:c r="E21" s="42" t="n">
        <x:f>E19/E20</x:f>
        <x:v>1.4866872627596264</x:v>
      </x:c>
      <x:c r="F21" s="42" t="n">
        <x:f>F19/F20</x:f>
        <x:v>1.5899276808070577</x:v>
      </x:c>
      <x:c r="G21" s="42" t="n">
        <x:f>G19/G20</x:f>
        <x:v>1.7056314081990034</x:v>
      </x:c>
      <x:c r="H21" s="42" t="n">
        <x:f>H19/H20</x:f>
        <x:v>1.8355034928088811</x:v>
      </x:c>
      <x:c r="I21" s="2"/>
      <x:c r="J21" s="37"/>
      <x:c r="K21" s="37"/>
      <x:c r="L21" s="37"/>
      <x:c r="M21" s="37"/>
      <x:c r="N21" s="37"/>
    </x:row>
    <x:row r="22" ht="25" customHeight="1">
      <x:c r="A22" s="2" t="str">
        <x:v>仅听力增量EPS</x:v>
      </x:c>
      <x:c r="B22" s="2"/>
      <x:c r="C22" s="42" t="n">
        <x:v>0</x:v>
      </x:c>
      <x:c r="D22" s="42" t="n">
        <x:f>D14/D20</x:f>
        <x:v>0.02862069955838684</x:v>
      </x:c>
      <x:c r="E22" s="42" t="n">
        <x:f>E14/E20</x:f>
        <x:v>0.06424577181072783</x:v>
      </x:c>
      <x:c r="F22" s="42" t="n">
        <x:f>F14/F20</x:f>
        <x:v>0.10802393387883136</x:v>
      </x:c>
      <x:c r="G22" s="42" t="n">
        <x:f>G14/G20</x:f>
        <x:v>0.1612922924924826</x:v>
      </x:c>
      <x:c r="H22" s="42" t="n">
        <x:f>H14/H20</x:f>
        <x:v>0.22560723988515133</x:v>
      </x:c>
      <x:c r="I22" s="2"/>
      <x:c r="J22" s="37"/>
      <x:c r="K22" s="37"/>
      <x:c r="L22" s="37"/>
      <x:c r="M22" s="37"/>
      <x:c r="N22" s="37"/>
    </x:row>
    <x:row r="23" ht="25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37"/>
      <x:c r="K23" s="37"/>
      <x:c r="L23" s="37"/>
      <x:c r="M23" s="37"/>
      <x:c r="N23" s="37"/>
    </x:row>
    <x:row r="24" ht="25" customHeight="1">
      <x:c r="A24" s="2"/>
      <x:c r="B24" s="2"/>
      <x:c r="C24" s="10"/>
      <x:c r="D24" s="10"/>
      <x:c r="E24" s="10"/>
      <x:c r="F24" s="10"/>
      <x:c r="G24" s="10"/>
      <x:c r="H24" s="10"/>
      <x:c r="I24" s="2"/>
      <x:c r="J24" s="37"/>
      <x:c r="K24" s="37"/>
      <x:c r="L24" s="37"/>
      <x:c r="M24" s="37"/>
      <x:c r="N24" s="37"/>
    </x:row>
    <x:row r="25" ht="25" customHeight="1">
      <x:c r="A25" s="2" t="str">
        <x:v>听力增量税率假设</x:v>
      </x:c>
      <x:c r="B25" s="2"/>
      <x:c r="C25" s="14" t="n">
        <x:v>0.2</x:v>
      </x:c>
      <x:c r="D25" s="10"/>
      <x:c r="E25" s="10"/>
      <x:c r="F25" s="10"/>
      <x:c r="G25" s="10"/>
      <x:c r="H25" s="10"/>
      <x:c r="I25" s="2"/>
      <x:c r="J25" s="37"/>
      <x:c r="K25" s="37"/>
      <x:c r="L25" s="37"/>
      <x:c r="M25" s="37"/>
      <x:c r="N25" s="37"/>
    </x:row>
    <x:row r="26" ht="25" customHeight="1">
      <x:c r="A26" s="2"/>
      <x:c r="B26" s="2"/>
      <x:c r="C26" s="10"/>
      <x:c r="D26" s="10"/>
      <x:c r="E26" s="10"/>
      <x:c r="F26" s="10"/>
      <x:c r="G26" s="10"/>
      <x:c r="H26" s="10"/>
      <x:c r="I26" s="2"/>
      <x:c r="J26" s="37"/>
      <x:c r="K26" s="37"/>
      <x:c r="L26" s="37"/>
      <x:c r="M26" s="37"/>
      <x:c r="N26" s="37"/>
    </x:row>
    <x:row r="27" ht="25" customHeight="1">
      <x:c r="A27" s="2" t="str">
        <x:v>独立敞口参数：2025渐进/集团收入</x:v>
      </x:c>
      <x:c r="B27" s="2"/>
      <x:c r="C27" s="14" t="n">
        <x:v>0.05</x:v>
      </x:c>
      <x:c r="D27" s="10"/>
      <x:c r="E27" s="10"/>
      <x:c r="F27" s="10"/>
      <x:c r="G27" s="10"/>
      <x:c r="H27" s="10"/>
      <x:c r="I27" s="2"/>
      <x:c r="J27" s="37" t="str">
        <x:v>2/5/10%都不是事实。40%为H1收入增速，并非销量。</x:v>
      </x:c>
      <x:c r="K27" s="37"/>
      <x:c r="L27" s="37"/>
      <x:c r="M27" s="37"/>
      <x:c r="N27" s="37"/>
    </x:row>
    <x:row r="28" ht="25" customHeight="1">
      <x:c r="A28" s="2" t="str">
        <x:v>渐进销量年增速覆盖(表格扫描用)</x:v>
      </x:c>
      <x:c r="B28" s="2"/>
      <x:c r="C28" s="14" t="n">
        <x:v>0</x:v>
      </x:c>
      <x:c r="D28" s="10"/>
      <x:c r="E28" s="10"/>
      <x:c r="F28" s="10"/>
      <x:c r="G28" s="10"/>
      <x:c r="H28" s="10"/>
      <x:c r="I28" s="2"/>
      <x:c r="J28" s="37" t="str">
        <x:v>0=使用Assumptions；非0时覆盖全部年度渐进销量增长。</x:v>
      </x:c>
      <x:c r="K28" s="37"/>
      <x:c r="L28" s="37"/>
      <x:c r="M28" s="37"/>
      <x:c r="N28" s="37"/>
    </x:row>
    <x:row r="29" ht="25" customHeight="1">
      <x:c r="A29" s="2"/>
      <x:c r="B29" s="2"/>
      <x:c r="C29" s="10"/>
      <x:c r="D29" s="10"/>
      <x:c r="E29" s="10"/>
      <x:c r="F29" s="10"/>
      <x:c r="G29" s="10"/>
      <x:c r="H29" s="10"/>
      <x:c r="I29" s="2"/>
      <x:c r="J29" s="37"/>
      <x:c r="K29" s="37"/>
      <x:c r="L29" s="37"/>
      <x:c r="M29" s="37"/>
      <x:c r="N29" s="37"/>
    </x:row>
    <x:row r="30" ht="25" customHeight="1">
      <x:c r="A30" s="45" t="str">
        <x:v>明月：渐进敞口未知，用参数检验集团重要性</x:v>
      </x:c>
      <x:c r="B30" s="45"/>
      <x:c r="C30" s="46"/>
      <x:c r="D30" s="46"/>
      <x:c r="E30" s="46"/>
      <x:c r="F30" s="46"/>
      <x:c r="G30" s="46"/>
      <x:c r="H30" s="46"/>
      <x:c r="I30" s="2"/>
      <x:c r="J30" s="37"/>
      <x:c r="K30" s="37"/>
      <x:c r="L30" s="37"/>
      <x:c r="M30" s="37"/>
      <x:c r="N30" s="37"/>
    </x:row>
    <x:row r="31" ht="25" customHeight="1">
      <x:c r="A31" s="2"/>
      <x:c r="B31" s="2"/>
      <x:c r="C31" s="10"/>
      <x:c r="D31" s="10"/>
      <x:c r="E31" s="10"/>
      <x:c r="F31" s="10"/>
      <x:c r="G31" s="10"/>
      <x:c r="H31" s="10"/>
      <x:c r="I31" s="2"/>
      <x:c r="J31" s="37"/>
      <x:c r="K31" s="37"/>
      <x:c r="L31" s="37"/>
      <x:c r="M31" s="37"/>
      <x:c r="N31" s="37"/>
    </x:row>
    <x:row r="32" ht="25" customHeight="1">
      <x:c r="A32" s="2" t="str">
        <x:v>渐进销量指数 2025=100</x:v>
      </x:c>
      <x:c r="B32" s="2"/>
      <x:c r="C32" s="10" t="n">
        <x:v>100</x:v>
      </x:c>
      <x:c r="D32" s="21" t="n">
        <x:f>C32*(1+IF($C$28=0,Assumptions!D172,$C$28))*(1+Summary!$B$4)</x:f>
        <x:v>130</x:v>
      </x:c>
      <x:c r="E32" s="21" t="n">
        <x:f>D32*(1+IF($C$28=0,Assumptions!E172,$C$28))</x:f>
        <x:v>169</x:v>
      </x:c>
      <x:c r="F32" s="21" t="n">
        <x:f>E32*(1+IF($C$28=0,Assumptions!F172,$C$28))</x:f>
        <x:v>219.70000000000002</x:v>
      </x:c>
      <x:c r="G32" s="21" t="n">
        <x:f>F32*(1+IF($C$28=0,Assumptions!G172,$C$28))</x:f>
        <x:v>285.61</x:v>
      </x:c>
      <x:c r="H32" s="21" t="n">
        <x:f>G32*(1+IF($C$28=0,Assumptions!H172,$C$28))</x:f>
        <x:v>371.293</x:v>
      </x:c>
      <x:c r="I32" s="2"/>
      <x:c r="J32" s="37"/>
      <x:c r="K32" s="37"/>
      <x:c r="L32" s="37"/>
      <x:c r="M32" s="37"/>
      <x:c r="N32" s="37"/>
    </x:row>
    <x:row r="33" ht="25" customHeight="1">
      <x:c r="A33" s="2" t="str">
        <x:v>渐进厂家价指数 2025=100</x:v>
      </x:c>
      <x:c r="B33" s="2"/>
      <x:c r="C33" s="10" t="n">
        <x:v>100</x:v>
      </x:c>
      <x:c r="D33" s="21" t="n">
        <x:f>C33*(1+Assumptions!D177)</x:f>
        <x:v>100</x:v>
      </x:c>
      <x:c r="E33" s="21" t="n">
        <x:f>D33*(1+Assumptions!E177)</x:f>
        <x:v>100</x:v>
      </x:c>
      <x:c r="F33" s="21" t="n">
        <x:f>E33*(1+Assumptions!F177)</x:f>
        <x:v>100</x:v>
      </x:c>
      <x:c r="G33" s="21" t="n">
        <x:f>F33*(1+Assumptions!G177)</x:f>
        <x:v>100</x:v>
      </x:c>
      <x:c r="H33" s="21" t="n">
        <x:f>G33*(1+Assumptions!H177)</x:f>
        <x:v>100</x:v>
      </x:c>
      <x:c r="I33" s="2"/>
      <x:c r="J33" s="37"/>
      <x:c r="K33" s="37"/>
      <x:c r="L33" s="37"/>
      <x:c r="M33" s="37"/>
      <x:c r="N33" s="37"/>
    </x:row>
    <x:row r="34" ht="25" customHeight="1">
      <x:c r="A34" s="2" t="str">
        <x:v>渐进收入(基数假设)</x:v>
      </x:c>
      <x:c r="B34" s="2"/>
      <x:c r="C34" s="21" t="n">
        <x:f>Actuals!C23*$C$27</x:f>
        <x:v>41.375035514000004</x:v>
      </x:c>
      <x:c r="D34" s="10" t="n">
        <x:f>$C$34*D32/100*D33/100</x:f>
        <x:v>53.78754616820001</x:v>
      </x:c>
      <x:c r="E34" s="10" t="n">
        <x:f>$C$34*E32/100*E33/100</x:f>
        <x:v>69.92381001866</x:v>
      </x:c>
      <x:c r="F34" s="10" t="n">
        <x:f>$C$34*F32/100*F33/100</x:f>
        <x:v>90.90095302425802</x:v>
      </x:c>
      <x:c r="G34" s="10" t="n">
        <x:f>$C$34*G32/100*G33/100</x:f>
        <x:v>118.17123893153541</x:v>
      </x:c>
      <x:c r="H34" s="10" t="n">
        <x:f>$C$34*H32/100*H33/100</x:f>
        <x:v>153.62261061099605</x:v>
      </x:c>
      <x:c r="I34" s="2"/>
      <x:c r="J34" s="37"/>
      <x:c r="K34" s="37"/>
      <x:c r="L34" s="37"/>
      <x:c r="M34" s="37"/>
      <x:c r="N34" s="37"/>
    </x:row>
    <x:row r="35" ht="25" customHeight="1">
      <x:c r="A35" s="2" t="str">
        <x:v>渐进毛利率(假设)</x:v>
      </x:c>
      <x:c r="B35" s="2"/>
      <x:c r="C35" s="14" t="n">
        <x:v>0.65</x:v>
      </x:c>
      <x:c r="D35" s="41" t="n">
        <x:f>Assumptions!D182</x:f>
        <x:v>0.65</x:v>
      </x:c>
      <x:c r="E35" s="41" t="n">
        <x:f>Assumptions!E182</x:f>
        <x:v>0.65</x:v>
      </x:c>
      <x:c r="F35" s="41" t="n">
        <x:f>Assumptions!F182</x:f>
        <x:v>0.65</x:v>
      </x:c>
      <x:c r="G35" s="41" t="n">
        <x:f>Assumptions!G182</x:f>
        <x:v>0.65</x:v>
      </x:c>
      <x:c r="H35" s="41" t="n">
        <x:f>Assumptions!H182</x:f>
        <x:v>0.65</x:v>
      </x:c>
      <x:c r="I35" s="2"/>
      <x:c r="J35" s="37"/>
      <x:c r="K35" s="37"/>
      <x:c r="L35" s="37"/>
      <x:c r="M35" s="37"/>
      <x:c r="N35" s="37"/>
    </x:row>
    <x:row r="36" ht="25" customHeight="1">
      <x:c r="A36" s="2" t="str">
        <x:v>渐进毛利额</x:v>
      </x:c>
      <x:c r="B36" s="2"/>
      <x:c r="C36" s="10" t="n">
        <x:f>C34*C35</x:f>
        <x:v>26.893773084100005</x:v>
      </x:c>
      <x:c r="D36" s="10" t="n">
        <x:f>D34*D35</x:f>
        <x:v>34.96190500933001</x:v>
      </x:c>
      <x:c r="E36" s="10" t="n">
        <x:f>E34*E35</x:f>
        <x:v>45.45047651212901</x:v>
      </x:c>
      <x:c r="F36" s="10" t="n">
        <x:f>F34*F35</x:f>
        <x:v>59.085619465767714</x:v>
      </x:c>
      <x:c r="G36" s="10" t="n">
        <x:f>G34*G35</x:f>
        <x:v>76.81130530549802</x:v>
      </x:c>
      <x:c r="H36" s="10" t="n">
        <x:f>H34*H35</x:f>
        <x:v>99.85469689714743</x:v>
      </x:c>
      <x:c r="I36" s="2"/>
      <x:c r="J36" s="37"/>
      <x:c r="K36" s="37"/>
      <x:c r="L36" s="37"/>
      <x:c r="M36" s="37"/>
      <x:c r="N36" s="37"/>
    </x:row>
    <x:row r="37" ht="25" customHeight="1">
      <x:c r="A37" s="2" t="str">
        <x:v>增量费用 vs2025</x:v>
      </x:c>
      <x:c r="B37" s="2"/>
      <x:c r="C37" s="10" t="n">
        <x:v>0</x:v>
      </x:c>
      <x:c r="D37" s="21" t="n">
        <x:f>(D34-$C$34)*Assumptions!D187</x:f>
        <x:v>3.1031276635500014</x:v>
      </x:c>
      <x:c r="E37" s="21" t="n">
        <x:f>(E34-$C$34)*Assumptions!E187</x:f>
        <x:v>7.137193626165001</x:v>
      </x:c>
      <x:c r="F37" s="21" t="n">
        <x:f>(F34-$C$34)*Assumptions!F187</x:f>
        <x:v>12.381479377564503</x:v>
      </x:c>
      <x:c r="G37" s="21" t="n">
        <x:f>(G34-$C$34)*Assumptions!G187</x:f>
        <x:v>19.199050854383852</x:v>
      </x:c>
      <x:c r="H37" s="21" t="n">
        <x:f>(H34-$C$34)*Assumptions!H187</x:f>
        <x:v>28.06189377424901</x:v>
      </x:c>
      <x:c r="I37" s="2"/>
      <x:c r="J37" s="37"/>
      <x:c r="K37" s="37"/>
      <x:c r="L37" s="37"/>
      <x:c r="M37" s="37"/>
      <x:c r="N37" s="37"/>
    </x:row>
    <x:row r="38" ht="25" customHeight="1">
      <x:c r="A38" s="2" t="str">
        <x:v>渐进税后增量 vs2025</x:v>
      </x:c>
      <x:c r="B38" s="2"/>
      <x:c r="C38" s="10" t="n">
        <x:v>0</x:v>
      </x:c>
      <x:c r="D38" s="10" t="n">
        <x:f>(D36-$C$36-D37)*(1-$C$48)</x:f>
        <x:v>4.220253622428004</x:v>
      </x:c>
      <x:c r="E38" s="10" t="n">
        <x:f>(E36-$C$36-E37)*(1-$C$48)</x:f>
        <x:v>9.706583331584401</x:v>
      </x:c>
      <x:c r="F38" s="10" t="n">
        <x:f>(F36-$C$36-F37)*(1-$C$48)</x:f>
        <x:v>16.838811953487724</x:v>
      </x:c>
      <x:c r="G38" s="10" t="n">
        <x:f>(G36-$C$36-G37)*(1-$C$48)</x:f>
        <x:v>26.110709161962042</x:v>
      </x:c>
      <x:c r="H38" s="10" t="n">
        <x:f>(H36-$C$36-H37)*(1-$C$48)</x:f>
        <x:v>38.16417553297865</x:v>
      </x:c>
      <x:c r="I38" s="2"/>
      <x:c r="J38" s="37"/>
      <x:c r="K38" s="37"/>
      <x:c r="L38" s="37"/>
      <x:c r="M38" s="37"/>
      <x:c r="N38" s="37"/>
    </x:row>
    <x:row r="39" ht="25" customHeight="1">
      <x:c r="A39" s="2"/>
      <x:c r="B39" s="2"/>
      <x:c r="C39" s="10"/>
      <x:c r="D39" s="10"/>
      <x:c r="E39" s="10"/>
      <x:c r="F39" s="10"/>
      <x:c r="G39" s="10"/>
      <x:c r="H39" s="10"/>
      <x:c r="I39" s="2"/>
      <x:c r="J39" s="37"/>
      <x:c r="K39" s="37"/>
      <x:c r="L39" s="37"/>
      <x:c r="M39" s="37"/>
      <x:c r="N39" s="37"/>
    </x:row>
    <x:row r="40" ht="25" customHeight="1">
      <x:c r="A40" s="2" t="str">
        <x:v>其他收入</x:v>
      </x:c>
      <x:c r="B40" s="2"/>
      <x:c r="C40" s="21" t="n">
        <x:f>Actuals!C23-C34</x:f>
        <x:v>786.125674766</x:v>
      </x:c>
      <x:c r="D40" s="21" t="n">
        <x:f>C40*(1+Assumptions!D192)</x:f>
        <x:v>825.4319585043</x:v>
      </x:c>
      <x:c r="E40" s="21" t="n">
        <x:f>D40*(1+Assumptions!E192)</x:f>
        <x:v>866.7035564295151</x:v>
      </x:c>
      <x:c r="F40" s="21" t="n">
        <x:f>E40*(1+Assumptions!F192)</x:f>
        <x:v>910.0387342509908</x:v>
      </x:c>
      <x:c r="G40" s="21" t="n">
        <x:f>F40*(1+Assumptions!G192)</x:f>
        <x:v>955.5406709635404</x:v>
      </x:c>
      <x:c r="H40" s="21" t="n">
        <x:f>G40*(1+Assumptions!H192)</x:f>
        <x:v>1003.3177045117175</x:v>
      </x:c>
      <x:c r="I40" s="2"/>
      <x:c r="J40" s="37"/>
      <x:c r="K40" s="37"/>
      <x:c r="L40" s="37"/>
      <x:c r="M40" s="37"/>
      <x:c r="N40" s="37"/>
    </x:row>
    <x:row r="41" ht="25" customHeight="1">
      <x:c r="A41" s="2" t="str">
        <x:v>集团收入</x:v>
      </x:c>
      <x:c r="B41" s="2"/>
      <x:c r="C41" s="21" t="n">
        <x:f>Actuals!C23</x:f>
        <x:v>827.50071028</x:v>
      </x:c>
      <x:c r="D41" s="10" t="n">
        <x:f>D34+D40</x:f>
        <x:v>879.2195046725001</x:v>
      </x:c>
      <x:c r="E41" s="10" t="n">
        <x:f>E34+E40</x:f>
        <x:v>936.627366448175</x:v>
      </x:c>
      <x:c r="F41" s="10" t="n">
        <x:f>F34+F40</x:f>
        <x:v>1000.9396872752488</x:v>
      </x:c>
      <x:c r="G41" s="10" t="n">
        <x:f>G34+G40</x:f>
        <x:v>1073.7119098950757</x:v>
      </x:c>
      <x:c r="H41" s="10" t="n">
        <x:f>H34+H40</x:f>
        <x:v>1156.9403151227134</x:v>
      </x:c>
      <x:c r="I41" s="2"/>
      <x:c r="J41" s="37"/>
      <x:c r="K41" s="37"/>
      <x:c r="L41" s="37"/>
      <x:c r="M41" s="37"/>
      <x:c r="N41" s="37"/>
    </x:row>
    <x:row r="42" ht="25" customHeight="1">
      <x:c r="A42" s="2" t="str">
        <x:v>其他业务增量净利</x:v>
      </x:c>
      <x:c r="B42" s="2"/>
      <x:c r="C42" s="10" t="n">
        <x:v>0</x:v>
      </x:c>
      <x:c r="D42" s="21" t="n">
        <x:f>(D40-$C$40)*Assumptions!D197</x:f>
        <x:v>7.861256747660014</x:v>
      </x:c>
      <x:c r="E42" s="21" t="n">
        <x:f>(E40-$C$40)*Assumptions!E197</x:f>
        <x:v>16.115576332703018</x:v>
      </x:c>
      <x:c r="F42" s="21" t="n">
        <x:f>(F40-$C$40)*Assumptions!F197</x:f>
        <x:v>24.782611896998176</x:v>
      </x:c>
      <x:c r="G42" s="21" t="n">
        <x:f>(G40-$C$40)*Assumptions!G197</x:f>
        <x:v>33.88299923950808</x:v>
      </x:c>
      <x:c r="H42" s="21" t="n">
        <x:f>(H40-$C$40)*Assumptions!H197</x:f>
        <x:v>43.4384059491435</x:v>
      </x:c>
      <x:c r="I42" s="2"/>
      <x:c r="J42" s="37"/>
      <x:c r="K42" s="37"/>
      <x:c r="L42" s="37"/>
      <x:c r="M42" s="37"/>
      <x:c r="N42" s="37"/>
    </x:row>
    <x:row r="43" ht="25" customHeight="1">
      <x:c r="A43" s="6" t="str">
        <x:v>集团条件扣非归母</x:v>
      </x:c>
      <x:c r="B43" s="6"/>
      <x:c r="C43" s="25" t="n">
        <x:f>Actuals!E23</x:f>
        <x:v>166.19700887</x:v>
      </x:c>
      <x:c r="D43" s="24" t="n">
        <x:f>$C$43+D38+D42</x:f>
        <x:v>178.278519240088</x:v>
      </x:c>
      <x:c r="E43" s="24" t="n">
        <x:f>$C$43+E38+E42</x:f>
        <x:v>192.01916853428742</x:v>
      </x:c>
      <x:c r="F43" s="24" t="n">
        <x:f>$C$43+F38+F42</x:f>
        <x:v>207.81843272048587</x:v>
      </x:c>
      <x:c r="G43" s="24" t="n">
        <x:f>$C$43+G38+G42</x:f>
        <x:v>226.1907172714701</x:v>
      </x:c>
      <x:c r="H43" s="24" t="n">
        <x:f>$C$43+H38+H42</x:f>
        <x:v>247.79959035212215</x:v>
      </x:c>
      <x:c r="I43" s="2"/>
      <x:c r="J43" s="37"/>
      <x:c r="K43" s="37"/>
      <x:c r="L43" s="37"/>
      <x:c r="M43" s="37"/>
      <x:c r="N43" s="37"/>
    </x:row>
    <x:row r="44" ht="25" customHeight="1">
      <x:c r="A44" s="6" t="str">
        <x:v>静态股本 百万</x:v>
      </x:c>
      <x:c r="B44" s="6"/>
      <x:c r="C44" s="24" t="n">
        <x:f>201.5121</x:f>
        <x:v>201.5121</x:v>
      </x:c>
      <x:c r="D44" s="24" t="n">
        <x:f>201.5121</x:f>
        <x:v>201.5121</x:v>
      </x:c>
      <x:c r="E44" s="24" t="n">
        <x:f>201.5121</x:f>
        <x:v>201.5121</x:v>
      </x:c>
      <x:c r="F44" s="24" t="n">
        <x:f>201.5121</x:f>
        <x:v>201.5121</x:v>
      </x:c>
      <x:c r="G44" s="24" t="n">
        <x:f>201.5121</x:f>
        <x:v>201.5121</x:v>
      </x:c>
      <x:c r="H44" s="24" t="n">
        <x:f>201.5121</x:f>
        <x:v>201.5121</x:v>
      </x:c>
      <x:c r="I44" s="2"/>
      <x:c r="J44" s="37"/>
      <x:c r="K44" s="37"/>
      <x:c r="L44" s="37"/>
      <x:c r="M44" s="37"/>
      <x:c r="N44" s="37"/>
    </x:row>
    <x:row r="45" ht="23" customHeight="1">
      <x:c r="A45" s="6" t="str">
        <x:v>集团条件EPS</x:v>
      </x:c>
      <x:c r="B45" s="6"/>
      <x:c r="C45" s="43" t="n">
        <x:f>C43/C44</x:f>
        <x:v>0.8247495255619886</x:v>
      </x:c>
      <x:c r="D45" s="43" t="n">
        <x:f>D43/D44</x:f>
        <x:v>0.8847037931721619</x:v>
      </x:c>
      <x:c r="E45" s="43" t="n">
        <x:f>E43/E44</x:f>
        <x:v>0.95289150643702</x:v>
      </x:c>
      <x:c r="F45" s="43" t="n">
        <x:f>F43/F44</x:f>
        <x:v>1.0312950573215498</x:v>
      </x:c>
      <x:c r="G45" s="43" t="n">
        <x:f>G43/G44</x:f>
        <x:v>1.1224671732936637</x:v>
      </x:c>
      <x:c r="H45" s="43" t="n">
        <x:f>H43/H44</x:f>
        <x:v>1.2297007988707485</x:v>
      </x:c>
      <x:c r="I45" s="2"/>
      <x:c r="J45" s="2"/>
      <x:c r="K45" s="2"/>
      <x:c r="L45" s="2"/>
      <x:c r="M45" s="2"/>
      <x:c r="N45" s="2"/>
    </x:row>
    <x:row r="46" ht="23" customHeight="1">
      <x:c r="A46" s="6" t="str">
        <x:v>仅渐进增量EPS</x:v>
      </x:c>
      <x:c r="B46" s="6"/>
      <x:c r="C46" s="43" t="n">
        <x:v>0</x:v>
      </x:c>
      <x:c r="D46" s="43" t="n">
        <x:f>D38/D44</x:f>
        <x:v>0.020942929096704387</x:v>
      </x:c>
      <x:c r="E46" s="43" t="n">
        <x:f>E38/E44</x:f>
        <x:v>0.04816873692242005</x:v>
      </x:c>
      <x:c r="F46" s="43" t="n">
        <x:f>F38/F44</x:f>
        <x:v>0.08356228709585044</x:v>
      </x:c>
      <x:c r="G46" s="43" t="n">
        <x:f>G38/G44</x:f>
        <x:v>0.12957390232130994</x:v>
      </x:c>
      <x:c r="H46" s="43" t="n">
        <x:f>H38/H44</x:f>
        <x:v>0.1893890021144073</x:v>
      </x:c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10"/>
      <x:c r="D47" s="10"/>
      <x:c r="E47" s="10"/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23" customHeight="1">
      <x:c r="A48" s="2" t="str">
        <x:v>明月增量税率假设</x:v>
      </x:c>
      <x:c r="B48" s="2"/>
      <x:c r="C48" s="14" t="n">
        <x:v>0.15</x:v>
      </x:c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 t="str">
        <x:v>2030仅渐进ΔEPS</x:v>
      </x:c>
      <x:c r="B52" s="2"/>
      <x:c r="C52" s="10"/>
      <x:c r="D52" s="10" t="n">
        <x:f>H46</x:f>
        <x:v>0.1893890021144073</x:v>
      </x:c>
      <x:c r="E52" s="18" t="n">
        <x:v>0.02</x:v>
      </x:c>
      <x:c r="F52" s="18" t="n">
        <x:v>0.05</x:v>
      </x:c>
      <x:c r="G52" s="18" t="n">
        <x:v>0.1</x:v>
      </x:c>
      <x:c r="H52" s="10"/>
      <x:c r="I52" s="2"/>
      <x:c r="J52" s="2"/>
      <x:c r="K52" s="2"/>
      <x:c r="L52" s="2"/>
      <x:c r="M52" s="2"/>
      <x:c r="N52" s="2"/>
    </x:row>
    <x:row r="53" ht="23" customHeight="1">
      <x:c r="A53" s="2" t="str">
        <x:v>列=基期收入敞口</x:v>
      </x:c>
      <x:c r="B53" s="2"/>
      <x:c r="C53" s="10"/>
      <x:c r="D53" s="18" t="n">
        <x:v>0.2</x:v>
      </x:c>
      <x:c r="E53" s="42" t="n">
        <x:f t="dataTable" ref="E53:G55" dt2D="1" r1="C27" r2="C28"/>
        <x:v>0.0415597069776</x:v>
      </x:c>
      <x:c r="F53" s="42" t="n">
        <x:v>0.103899267444</x:v>
      </x:c>
      <x:c r="G53" s="42" t="n">
        <x:v>0.207798534888</x:v>
      </x:c>
      <x:c r="H53" s="10"/>
      <x:c r="I53" s="2"/>
      <x:c r="J53" s="2"/>
      <x:c r="K53" s="2"/>
      <x:c r="L53" s="2"/>
      <x:c r="M53" s="2"/>
      <x:c r="N53" s="2"/>
    </x:row>
    <x:row r="54" ht="23" customHeight="1">
      <x:c r="A54" s="2" t="str">
        <x:v>行=销量增长覆盖</x:v>
      </x:c>
      <x:c r="B54" s="2"/>
      <x:c r="C54" s="10"/>
      <x:c r="D54" s="18" t="n">
        <x:v>0.3</x:v>
      </x:c>
      <x:c r="E54" s="42" t="n">
        <x:v>0.0757556008458</x:v>
      </x:c>
      <x:c r="F54" s="42" t="n">
        <x:v>0.1893890021144</x:v>
      </x:c>
      <x:c r="G54" s="42" t="n">
        <x:v>0.3787780042288</x:v>
      </x:c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8" t="n">
        <x:v>0.4</x:v>
      </x:c>
      <x:c r="E55" s="42" t="n">
        <x:v>0.1222575598511</x:v>
      </x:c>
      <x:c r="F55" s="42" t="n">
        <x:v>0.3056438996278</x:v>
      </x:c>
      <x:c r="G55" s="42" t="n">
        <x:v>0.6112877992557</x:v>
      </x:c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30:H30"/>
    <x:mergeCell ref="J6:N6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  <x:mergeCell ref="J35:N35"/>
    <x:mergeCell ref="J36:N36"/>
    <x:mergeCell ref="J37:N37"/>
    <x:mergeCell ref="J38:N38"/>
    <x:mergeCell ref="J39:N39"/>
    <x:mergeCell ref="J40:N40"/>
    <x:mergeCell ref="J41:N41"/>
    <x:mergeCell ref="J42:N42"/>
    <x:mergeCell ref="J43:N43"/>
    <x:mergeCell ref="J44:N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PAP 地区模型与全球供应链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PAP：国内/海外账面收入；未披露地区×物理销量，数量用指数。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n">
        <x:v>2025</x:v>
      </x:c>
      <x:c r="D5" s="9" t="n">
        <x:v>2026</x:v>
      </x:c>
      <x:c r="E5" s="9" t="n">
        <x:v>2027</x:v>
      </x:c>
      <x:c r="F5" s="9" t="n">
        <x:v>2028</x:v>
      </x:c>
      <x:c r="G5" s="9" t="n">
        <x:v>2029</x:v>
      </x:c>
      <x:c r="H5" s="9" t="n">
        <x:v>2030</x:v>
      </x:c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10"/>
      <x:c r="D6" s="10"/>
      <x:c r="E6" s="10"/>
      <x:c r="F6" s="10"/>
      <x:c r="G6" s="10"/>
      <x:c r="H6" s="10"/>
      <x:c r="I6" s="2"/>
      <x:c r="J6" s="37"/>
      <x:c r="K6" s="37"/>
      <x:c r="L6" s="37"/>
      <x:c r="M6" s="37"/>
      <x:c r="N6" s="37"/>
    </x:row>
    <x:row r="7" ht="25" customHeight="1">
      <x:c r="A7" s="2" t="str">
        <x:v>国内需求量指数</x:v>
      </x:c>
      <x:c r="B7" s="2"/>
      <x:c r="C7" s="10" t="n">
        <x:v>100</x:v>
      </x:c>
      <x:c r="D7" s="21" t="n">
        <x:f>C7*(1+Assumptions!D202)*(1+Summary!$B$4)</x:f>
        <x:v>125</x:v>
      </x:c>
      <x:c r="E7" s="21" t="n">
        <x:f>D7*(1+Assumptions!E202)</x:f>
        <x:v>140</x:v>
      </x:c>
      <x:c r="F7" s="21" t="n">
        <x:f>E7*(1+Assumptions!F202)</x:f>
        <x:v>154</x:v>
      </x:c>
      <x:c r="G7" s="21" t="n">
        <x:f>F7*(1+Assumptions!G202)</x:f>
        <x:v>166.32000000000002</x:v>
      </x:c>
      <x:c r="H7" s="21" t="n">
        <x:f>G7*(1+Assumptions!H202)</x:f>
        <x:v>179.62560000000005</x:v>
      </x:c>
      <x:c r="I7" s="2"/>
      <x:c r="J7" s="37"/>
      <x:c r="K7" s="37"/>
      <x:c r="L7" s="37"/>
      <x:c r="M7" s="37"/>
      <x:c r="N7" s="37"/>
    </x:row>
    <x:row r="8" ht="25" customHeight="1">
      <x:c r="A8" s="2" t="str">
        <x:v>国内厂家净价mix指数</x:v>
      </x:c>
      <x:c r="B8" s="2"/>
      <x:c r="C8" s="10" t="n">
        <x:v>100</x:v>
      </x:c>
      <x:c r="D8" s="21" t="n">
        <x:f>C8*(1+Assumptions!D212)</x:f>
        <x:v>100</x:v>
      </x:c>
      <x:c r="E8" s="21" t="n">
        <x:f>D8*(1+Assumptions!E212)</x:f>
        <x:v>100</x:v>
      </x:c>
      <x:c r="F8" s="21" t="n">
        <x:f>E8*(1+Assumptions!F212)</x:f>
        <x:v>100</x:v>
      </x:c>
      <x:c r="G8" s="21" t="n">
        <x:f>F8*(1+Assumptions!G212)</x:f>
        <x:v>100</x:v>
      </x:c>
      <x:c r="H8" s="21" t="n">
        <x:f>G8*(1+Assumptions!H212)</x:f>
        <x:v>100</x:v>
      </x:c>
      <x:c r="I8" s="2"/>
      <x:c r="J8" s="37"/>
      <x:c r="K8" s="37"/>
      <x:c r="L8" s="37"/>
      <x:c r="M8" s="37"/>
      <x:c r="N8" s="37"/>
    </x:row>
    <x:row r="9" ht="25" customHeight="1">
      <x:c r="A9" s="2" t="str">
        <x:v>国内直营扩表因子</x:v>
      </x:c>
      <x:c r="B9" s="2"/>
      <x:c r="C9" s="10" t="n">
        <x:v>1</x:v>
      </x:c>
      <x:c r="D9" s="21" t="n">
        <x:f>Assumptions!D222</x:f>
        <x:v>1.2</x:v>
      </x:c>
      <x:c r="E9" s="21" t="n">
        <x:f>Assumptions!E222</x:f>
        <x:v>1.2</x:v>
      </x:c>
      <x:c r="F9" s="21" t="n">
        <x:f>Assumptions!F222</x:f>
        <x:v>1.2</x:v>
      </x:c>
      <x:c r="G9" s="21" t="n">
        <x:f>Assumptions!G222</x:f>
        <x:v>1.2</x:v>
      </x:c>
      <x:c r="H9" s="21" t="n">
        <x:f>Assumptions!H222</x:f>
        <x:v>1.2</x:v>
      </x:c>
      <x:c r="I9" s="2"/>
      <x:c r="J9" s="37" t="str">
        <x:v>直营扩表1.20为假设，不等于终端涨价20%。</x:v>
      </x:c>
      <x:c r="K9" s="37"/>
      <x:c r="L9" s="37"/>
      <x:c r="M9" s="37"/>
      <x:c r="N9" s="37"/>
    </x:row>
    <x:row r="10" ht="25" customHeight="1">
      <x:c r="A10" s="2" t="str">
        <x:v>国内当年诊断拉动</x:v>
      </x:c>
      <x:c r="B10" s="2"/>
      <x:c r="C10" s="18" t="n">
        <x:v>0</x:v>
      </x:c>
      <x:c r="D10" s="41" t="n">
        <x:f>Assumptions!D227</x:f>
        <x:v>0.02</x:v>
      </x:c>
      <x:c r="E10" s="41" t="n">
        <x:f>Assumptions!E227</x:f>
        <x:v>0.02</x:v>
      </x:c>
      <x:c r="F10" s="41" t="n">
        <x:f>Assumptions!F227</x:f>
        <x:v>0.01</x:v>
      </x:c>
      <x:c r="G10" s="41" t="n">
        <x:f>Assumptions!G227</x:f>
        <x:v>0</x:v>
      </x:c>
      <x:c r="H10" s="41" t="n">
        <x:f>Assumptions!H227</x:f>
        <x:v>0</x:v>
      </x:c>
      <x:c r="I10" s="2"/>
      <x:c r="J10" s="37"/>
      <x:c r="K10" s="37"/>
      <x:c r="L10" s="37"/>
      <x:c r="M10" s="37"/>
      <x:c r="N10" s="37"/>
    </x:row>
    <x:row r="11" ht="25" customHeight="1">
      <x:c r="A11" s="2" t="str">
        <x:v>国内累计GLP-1替代</x:v>
      </x:c>
      <x:c r="B11" s="2"/>
      <x:c r="C11" s="18" t="n">
        <x:v>0</x:v>
      </x:c>
      <x:c r="D11" s="41" t="n">
        <x:f>Assumptions!D237</x:f>
        <x:v>0</x:v>
      </x:c>
      <x:c r="E11" s="41" t="n">
        <x:f>Assumptions!E237</x:f>
        <x:v>0.002</x:v>
      </x:c>
      <x:c r="F11" s="41" t="n">
        <x:f>Assumptions!F237</x:f>
        <x:v>0.005</x:v>
      </x:c>
      <x:c r="G11" s="41" t="n">
        <x:f>Assumptions!G237</x:f>
        <x:v>0.01</x:v>
      </x:c>
      <x:c r="H11" s="41" t="n">
        <x:f>Assumptions!H237</x:f>
        <x:v>0.02</x:v>
      </x:c>
      <x:c r="I11" s="2"/>
      <x:c r="J11" s="37" t="str">
        <x:v>累计替代仅在每年收入乘一次；不能拿试验缓解率直接代入。</x:v>
      </x:c>
      <x:c r="K11" s="37"/>
      <x:c r="L11" s="37"/>
      <x:c r="M11" s="37"/>
      <x:c r="N11" s="37"/>
    </x:row>
    <x:row r="12" ht="25" customHeight="1">
      <x:c r="A12" s="2" t="str">
        <x:v>国内收入</x:v>
      </x:c>
      <x:c r="B12" s="2"/>
      <x:c r="C12" s="10" t="n">
        <x:v>392.58181553</x:v>
      </x:c>
      <x:c r="D12" s="10" t="n">
        <x:f>$C$12*D7/100*D8/100*D9*(1+D10)*(1-D11)</x:f>
        <x:v>600.6501777609</x:v>
      </x:c>
      <x:c r="E12" s="10" t="n">
        <x:f>$C$12*E7/100*E8/100*E9*(1+E10)*(1-E11)</x:f>
        <x:v>671.3827426940235</x:v>
      </x:c>
      <x:c r="F12" s="10" t="n">
        <x:f>$C$12*F7/100*F8/100*F9*(1+F10)*(1-F11)</x:f>
        <x:v>729.0823765151822</x:v>
      </x:c>
      <x:c r="G12" s="10" t="n">
        <x:f>$C$12*G7/100*G8/100*G9*(1+G10)*(1-G11)</x:f>
        <x:v>775.6951858003213</x:v>
      </x:c>
      <x:c r="H12" s="10" t="n">
        <x:f>$C$12*H7/100*H8/100*H9*(1+H10)*(1-H11)</x:f>
        <x:v>829.2886713647073</x:v>
      </x:c>
      <x:c r="I12" s="2"/>
      <x:c r="J12" s="37"/>
      <x:c r="K12" s="37"/>
      <x:c r="L12" s="37"/>
      <x:c r="M12" s="37"/>
      <x:c r="N12" s="37"/>
    </x:row>
    <x:row r="13" ht="25" customHeight="1">
      <x:c r="A13" s="2" t="str">
        <x:v>国内毛利率</x:v>
      </x:c>
      <x:c r="B13" s="2"/>
      <x:c r="C13" s="18" t="n">
        <x:v>0.5789767677933384</x:v>
      </x:c>
      <x:c r="D13" s="41" t="n">
        <x:f>Assumptions!D247</x:f>
        <x:v>0.62</x:v>
      </x:c>
      <x:c r="E13" s="41" t="n">
        <x:f>Assumptions!E247</x:f>
        <x:v>0.615</x:v>
      </x:c>
      <x:c r="F13" s="41" t="n">
        <x:f>Assumptions!F247</x:f>
        <x:v>0.61</x:v>
      </x:c>
      <x:c r="G13" s="41" t="n">
        <x:f>Assumptions!G247</x:f>
        <x:v>0.61</x:v>
      </x:c>
      <x:c r="H13" s="41" t="n">
        <x:f>Assumptions!H247</x:f>
        <x:v>0.61</x:v>
      </x:c>
      <x:c r="I13" s="2"/>
      <x:c r="J13" s="37"/>
      <x:c r="K13" s="37"/>
      <x:c r="L13" s="37"/>
      <x:c r="M13" s="37"/>
      <x:c r="N13" s="37"/>
    </x:row>
    <x:row r="14" ht="25" customHeight="1">
      <x:c r="A14" s="2" t="str">
        <x:v>国内毛利额</x:v>
      </x:c>
      <x:c r="B14" s="2"/>
      <x:c r="C14" s="10" t="n">
        <x:f>C12*C13</x:f>
        <x:v>227.29575065</x:v>
      </x:c>
      <x:c r="D14" s="10" t="n">
        <x:f>D12*D13</x:f>
        <x:v>372.40311021175796</x:v>
      </x:c>
      <x:c r="E14" s="10" t="n">
        <x:f>E12*E13</x:f>
        <x:v>412.90038675682445</x:v>
      </x:c>
      <x:c r="F14" s="10" t="n">
        <x:f>F12*F13</x:f>
        <x:v>444.7402496742611</x:v>
      </x:c>
      <x:c r="G14" s="10" t="n">
        <x:f>G12*G13</x:f>
        <x:v>473.17406333819594</x:v>
      </x:c>
      <x:c r="H14" s="10" t="n">
        <x:f>H12*H13</x:f>
        <x:v>505.86608953247145</x:v>
      </x:c>
      <x:c r="I14" s="2"/>
      <x:c r="J14" s="37"/>
      <x:c r="K14" s="37"/>
      <x:c r="L14" s="37"/>
      <x:c r="M14" s="37"/>
      <x:c r="N14" s="37"/>
    </x:row>
    <x:row r="15" ht="25" customHeight="1">
      <x:c r="A15" s="2"/>
      <x:c r="B15" s="2"/>
      <x:c r="C15" s="10"/>
      <x:c r="D15" s="10"/>
      <x:c r="E15" s="10"/>
      <x:c r="F15" s="10"/>
      <x:c r="G15" s="10"/>
      <x:c r="H15" s="10"/>
      <x:c r="I15" s="2"/>
      <x:c r="J15" s="37"/>
      <x:c r="K15" s="37"/>
      <x:c r="L15" s="37"/>
      <x:c r="M15" s="37"/>
      <x:c r="N15" s="37"/>
    </x:row>
    <x:row r="16" ht="25" customHeight="1">
      <x:c r="A16" s="2" t="str">
        <x:v>海外需求量指数</x:v>
      </x:c>
      <x:c r="B16" s="2"/>
      <x:c r="C16" s="10" t="n">
        <x:v>100</x:v>
      </x:c>
      <x:c r="D16" s="21" t="n">
        <x:f>C16*(1+Assumptions!D207)*(1+Summary!$B$4)</x:f>
        <x:v>125</x:v>
      </x:c>
      <x:c r="E16" s="21" t="n">
        <x:f>D16*(1+Assumptions!E207)</x:f>
        <x:v>143.75</x:v>
      </x:c>
      <x:c r="F16" s="21" t="n">
        <x:f>E16*(1+Assumptions!F207)</x:f>
        <x:v>161.00000000000003</x:v>
      </x:c>
      <x:c r="G16" s="21" t="n">
        <x:f>F16*(1+Assumptions!G207)</x:f>
        <x:v>177.10000000000005</x:v>
      </x:c>
      <x:c r="H16" s="21" t="n">
        <x:f>G16*(1+Assumptions!H207)</x:f>
        <x:v>191.26800000000006</x:v>
      </x:c>
      <x:c r="I16" s="2"/>
      <x:c r="J16" s="37"/>
      <x:c r="K16" s="37"/>
      <x:c r="L16" s="37"/>
      <x:c r="M16" s="37"/>
      <x:c r="N16" s="37"/>
    </x:row>
    <x:row r="17" ht="25" customHeight="1">
      <x:c r="A17" s="2" t="str">
        <x:v>海外厂家净价mix指数</x:v>
      </x:c>
      <x:c r="B17" s="2"/>
      <x:c r="C17" s="10" t="n">
        <x:v>100</x:v>
      </x:c>
      <x:c r="D17" s="21" t="n">
        <x:f>C17*(1+Assumptions!D217)</x:f>
        <x:v>98</x:v>
      </x:c>
      <x:c r="E17" s="21" t="n">
        <x:f>D17*(1+Assumptions!E217)</x:f>
        <x:v>97.02</x:v>
      </x:c>
      <x:c r="F17" s="21" t="n">
        <x:f>E17*(1+Assumptions!F217)</x:f>
        <x:v>96.04979999999999</x:v>
      </x:c>
      <x:c r="G17" s="21" t="n">
        <x:f>F17*(1+Assumptions!G217)</x:f>
        <x:v>95.08930199999999</x:v>
      </x:c>
      <x:c r="H17" s="21" t="n">
        <x:f>G17*(1+Assumptions!H217)</x:f>
        <x:v>94.13840898</x:v>
      </x:c>
      <x:c r="I17" s="2"/>
      <x:c r="J17" s="37"/>
      <x:c r="K17" s="37"/>
      <x:c r="L17" s="37"/>
      <x:c r="M17" s="37"/>
      <x:c r="N17" s="37"/>
    </x:row>
    <x:row r="18" ht="25" customHeight="1">
      <x:c r="A18" s="2" t="str">
        <x:v>海外当年诊断拉动</x:v>
      </x:c>
      <x:c r="B18" s="2"/>
      <x:c r="C18" s="18" t="n">
        <x:v>0</x:v>
      </x:c>
      <x:c r="D18" s="41" t="n">
        <x:f>Assumptions!D232</x:f>
        <x:v>0.025</x:v>
      </x:c>
      <x:c r="E18" s="41" t="n">
        <x:f>Assumptions!E232</x:f>
        <x:v>0.02</x:v>
      </x:c>
      <x:c r="F18" s="41" t="n">
        <x:f>Assumptions!F232</x:f>
        <x:v>0.01</x:v>
      </x:c>
      <x:c r="G18" s="41" t="n">
        <x:f>Assumptions!G232</x:f>
        <x:v>0</x:v>
      </x:c>
      <x:c r="H18" s="41" t="n">
        <x:f>Assumptions!H232</x:f>
        <x:v>0</x:v>
      </x:c>
      <x:c r="I18" s="2"/>
      <x:c r="J18" s="37"/>
      <x:c r="K18" s="37"/>
      <x:c r="L18" s="37"/>
      <x:c r="M18" s="37"/>
      <x:c r="N18" s="37"/>
    </x:row>
    <x:row r="19" ht="25" customHeight="1">
      <x:c r="A19" s="2" t="str">
        <x:v>海外累计GLP-1替代</x:v>
      </x:c>
      <x:c r="B19" s="2"/>
      <x:c r="C19" s="18" t="n">
        <x:v>0</x:v>
      </x:c>
      <x:c r="D19" s="41" t="n">
        <x:f>Assumptions!D242</x:f>
        <x:v>0.005</x:v>
      </x:c>
      <x:c r="E19" s="41" t="n">
        <x:f>Assumptions!E242</x:f>
        <x:v>0.015</x:v>
      </x:c>
      <x:c r="F19" s="41" t="n">
        <x:f>Assumptions!F242</x:f>
        <x:v>0.03</x:v>
      </x:c>
      <x:c r="G19" s="41" t="n">
        <x:f>Assumptions!G242</x:f>
        <x:v>0.05</x:v>
      </x:c>
      <x:c r="H19" s="41" t="n">
        <x:f>Assumptions!H242</x:f>
        <x:v>0.075</x:v>
      </x:c>
      <x:c r="I19" s="2"/>
      <x:c r="J19" s="37"/>
      <x:c r="K19" s="37"/>
      <x:c r="L19" s="37"/>
      <x:c r="M19" s="37"/>
      <x:c r="N19" s="37"/>
    </x:row>
    <x:row r="20" ht="25" customHeight="1">
      <x:c r="A20" s="2" t="str">
        <x:v>海外收入</x:v>
      </x:c>
      <x:c r="B20" s="2"/>
      <x:c r="C20" s="10" t="n">
        <x:v>766.8346649700001</x:v>
      </x:c>
      <x:c r="D20" s="10" t="n">
        <x:f>$C$20*D16/100*D17/100*(1+D18)*(1-D19)</x:f>
        <x:v>958.0424923219415</x:v>
      </x:c>
      <x:c r="E20" s="10" t="n">
        <x:f>$C$20*E16/100*E17/100*(1+E18)*(1-E19)</x:f>
        <x:v>1074.5020860231111</x:v>
      </x:c>
      <x:c r="F20" s="10" t="n">
        <x:f>$C$20*F16/100*F17/100*(1+F18)*(1-F19)</x:f>
        <x:v>1161.7620507105432</x:v>
      </x:c>
      <x:c r="G20" s="10" t="n">
        <x:f>$C$20*G16/100*G17/100*(1+G18)*(1-G19)</x:f>
        <x:v>1226.805072535054</x:v>
      </x:c>
      <x:c r="H20" s="10" t="n">
        <x:f>$C$20*H16/100*H17/100*(1+H18)*(1-H19)</x:f>
        <x:v>1277.1815629346252</x:v>
      </x:c>
      <x:c r="I20" s="2"/>
      <x:c r="J20" s="37"/>
      <x:c r="K20" s="37"/>
      <x:c r="L20" s="37"/>
      <x:c r="M20" s="37"/>
      <x:c r="N20" s="37"/>
    </x:row>
    <x:row r="21" ht="25" customHeight="1">
      <x:c r="A21" s="2" t="str">
        <x:v>海外毛利率</x:v>
      </x:c>
      <x:c r="B21" s="2"/>
      <x:c r="C21" s="18" t="n">
        <x:v>0.5039012240078076</x:v>
      </x:c>
      <x:c r="D21" s="41" t="n">
        <x:f>Assumptions!D252</x:f>
        <x:v>0.47</x:v>
      </x:c>
      <x:c r="E21" s="41" t="n">
        <x:f>Assumptions!E252</x:f>
        <x:v>0.475</x:v>
      </x:c>
      <x:c r="F21" s="41" t="n">
        <x:f>Assumptions!F252</x:f>
        <x:v>0.48</x:v>
      </x:c>
      <x:c r="G21" s="41" t="n">
        <x:f>Assumptions!G252</x:f>
        <x:v>0.48</x:v>
      </x:c>
      <x:c r="H21" s="41" t="n">
        <x:f>Assumptions!H252</x:f>
        <x:v>0.48</x:v>
      </x:c>
      <x:c r="I21" s="2"/>
      <x:c r="J21" s="37"/>
      <x:c r="K21" s="37"/>
      <x:c r="L21" s="37"/>
      <x:c r="M21" s="37"/>
      <x:c r="N21" s="37"/>
    </x:row>
    <x:row r="22" ht="25" customHeight="1">
      <x:c r="A22" s="2" t="str">
        <x:v>海外毛利额</x:v>
      </x:c>
      <x:c r="B22" s="2"/>
      <x:c r="C22" s="10" t="n">
        <x:f>C20*C21</x:f>
        <x:v>386.40892629000007</x:v>
      </x:c>
      <x:c r="D22" s="10" t="n">
        <x:f>D20*D21</x:f>
        <x:v>450.2799713913125</x:v>
      </x:c>
      <x:c r="E22" s="10" t="n">
        <x:f>E20*E21</x:f>
        <x:v>510.38849086097775</x:v>
      </x:c>
      <x:c r="F22" s="10" t="n">
        <x:f>F20*F21</x:f>
        <x:v>557.6457843410607</x:v>
      </x:c>
      <x:c r="G22" s="10" t="n">
        <x:f>G20*G21</x:f>
        <x:v>588.8664348168259</x:v>
      </x:c>
      <x:c r="H22" s="10" t="n">
        <x:f>H20*H21</x:f>
        <x:v>613.0471502086201</x:v>
      </x:c>
      <x:c r="I22" s="2"/>
      <x:c r="J22" s="37"/>
      <x:c r="K22" s="37"/>
      <x:c r="L22" s="37"/>
      <x:c r="M22" s="37"/>
      <x:c r="N22" s="37"/>
    </x:row>
    <x:row r="23" ht="25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37"/>
      <x:c r="K23" s="37"/>
      <x:c r="L23" s="37"/>
      <x:c r="M23" s="37"/>
      <x:c r="N23" s="37"/>
    </x:row>
    <x:row r="24" ht="25" customHeight="1">
      <x:c r="A24" s="2" t="str">
        <x:v>集团收入</x:v>
      </x:c>
      <x:c r="B24" s="2"/>
      <x:c r="C24" s="10" t="n">
        <x:f>C12+C20</x:f>
        <x:v>1159.4164805</x:v>
      </x:c>
      <x:c r="D24" s="10" t="n">
        <x:f>D12+D20</x:f>
        <x:v>1558.6926700828415</x:v>
      </x:c>
      <x:c r="E24" s="10" t="n">
        <x:f>E12+E20</x:f>
        <x:v>1745.8848287171345</x:v>
      </x:c>
      <x:c r="F24" s="10" t="n">
        <x:f>F12+F20</x:f>
        <x:v>1890.8444272257254</x:v>
      </x:c>
      <x:c r="G24" s="10" t="n">
        <x:f>G12+G20</x:f>
        <x:v>2002.5002583353753</x:v>
      </x:c>
      <x:c r="H24" s="10" t="n">
        <x:f>H12+H20</x:f>
        <x:v>2106.4702342993323</x:v>
      </x:c>
      <x:c r="I24" s="2"/>
      <x:c r="J24" s="37"/>
      <x:c r="K24" s="37"/>
      <x:c r="L24" s="37"/>
      <x:c r="M24" s="37"/>
      <x:c r="N24" s="37"/>
    </x:row>
    <x:row r="25" ht="25" customHeight="1">
      <x:c r="A25" s="2" t="str">
        <x:v>集团毛利额</x:v>
      </x:c>
      <x:c r="B25" s="2"/>
      <x:c r="C25" s="10" t="n">
        <x:f>C14+C22</x:f>
        <x:v>613.7046769400001</x:v>
      </x:c>
      <x:c r="D25" s="10" t="n">
        <x:f>D14+D22</x:f>
        <x:v>822.6830816030704</x:v>
      </x:c>
      <x:c r="E25" s="10" t="n">
        <x:f>E14+E22</x:f>
        <x:v>923.2888776178022</x:v>
      </x:c>
      <x:c r="F25" s="10" t="n">
        <x:f>F14+F22</x:f>
        <x:v>1002.3860340153218</x:v>
      </x:c>
      <x:c r="G25" s="10" t="n">
        <x:f>G14+G22</x:f>
        <x:v>1062.0404981550219</x:v>
      </x:c>
      <x:c r="H25" s="10" t="n">
        <x:f>H14+H22</x:f>
        <x:v>1118.9132397410915</x:v>
      </x:c>
      <x:c r="I25" s="2"/>
      <x:c r="J25" s="37"/>
      <x:c r="K25" s="37"/>
      <x:c r="L25" s="37"/>
      <x:c r="M25" s="37"/>
      <x:c r="N25" s="37"/>
    </x:row>
    <x:row r="26" ht="25" customHeight="1">
      <x:c r="A26" s="2" t="str">
        <x:v>销售费用率</x:v>
      </x:c>
      <x:c r="B26" s="2"/>
      <x:c r="C26" s="18" t="n">
        <x:v>0.1549327009242905</x:v>
      </x:c>
      <x:c r="D26" s="41" t="n">
        <x:f>Assumptions!D257</x:f>
        <x:v>0.18</x:v>
      </x:c>
      <x:c r="E26" s="41" t="n">
        <x:f>Assumptions!E257</x:f>
        <x:v>0.18</x:v>
      </x:c>
      <x:c r="F26" s="41" t="n">
        <x:f>Assumptions!F257</x:f>
        <x:v>0.175</x:v>
      </x:c>
      <x:c r="G26" s="41" t="n">
        <x:f>Assumptions!G257</x:f>
        <x:v>0.17</x:v>
      </x:c>
      <x:c r="H26" s="41" t="n">
        <x:f>Assumptions!H257</x:f>
        <x:v>0.17</x:v>
      </x:c>
      <x:c r="I26" s="2"/>
      <x:c r="J26" s="37"/>
      <x:c r="K26" s="37"/>
      <x:c r="L26" s="37"/>
      <x:c r="M26" s="37"/>
      <x:c r="N26" s="37"/>
    </x:row>
    <x:row r="27" ht="25" customHeight="1">
      <x:c r="A27" s="2" t="str">
        <x:v>销售费用</x:v>
      </x:c>
      <x:c r="B27" s="2"/>
      <x:c r="C27" s="10" t="n">
        <x:f>C24*C26</x:f>
        <x:v>179.63152682</x:v>
      </x:c>
      <x:c r="D27" s="10" t="n">
        <x:f>D24*D26</x:f>
        <x:v>280.5646806149114</x:v>
      </x:c>
      <x:c r="E27" s="10" t="n">
        <x:f>E24*E26</x:f>
        <x:v>314.2592691690842</x:v>
      </x:c>
      <x:c r="F27" s="10" t="n">
        <x:f>F24*F26</x:f>
        <x:v>330.89777476450195</x:v>
      </x:c>
      <x:c r="G27" s="10" t="n">
        <x:f>G24*G26</x:f>
        <x:v>340.42504391701385</x:v>
      </x:c>
      <x:c r="H27" s="10" t="n">
        <x:f>H24*H26</x:f>
        <x:v>358.0999398308865</x:v>
      </x:c>
      <x:c r="I27" s="2"/>
      <x:c r="J27" s="37"/>
      <x:c r="K27" s="37"/>
      <x:c r="L27" s="37"/>
      <x:c r="M27" s="37"/>
      <x:c r="N27" s="37"/>
    </x:row>
    <x:row r="28" ht="25" customHeight="1">
      <x:c r="A28" s="2" t="str">
        <x:v>管理研发费用</x:v>
      </x:c>
      <x:c r="B28" s="2"/>
      <x:c r="C28" s="10" t="n">
        <x:v>216.17548585000003</x:v>
      </x:c>
      <x:c r="D28" s="21" t="n">
        <x:f>C28*(1+Assumptions!D262)</x:f>
        <x:v>233.46952471800006</x:v>
      </x:c>
      <x:c r="E28" s="21" t="n">
        <x:f>D28*(1+Assumptions!E262)</x:f>
        <x:v>252.1470866954401</x:v>
      </x:c>
      <x:c r="F28" s="21" t="n">
        <x:f>E28*(1+Assumptions!F262)</x:f>
        <x:v>272.31885363107534</x:v>
      </x:c>
      <x:c r="G28" s="21" t="n">
        <x:f>F28*(1+Assumptions!G262)</x:f>
        <x:v>294.1043619215614</x:v>
      </x:c>
      <x:c r="H28" s="21" t="n">
        <x:f>G28*(1+Assumptions!H262)</x:f>
        <x:v>317.63271087528636</x:v>
      </x:c>
      <x:c r="I28" s="2"/>
      <x:c r="J28" s="37"/>
      <x:c r="K28" s="37"/>
      <x:c r="L28" s="37"/>
      <x:c r="M28" s="37"/>
      <x:c r="N28" s="37"/>
    </x:row>
    <x:row r="29" ht="25" customHeight="1">
      <x:c r="A29" s="2" t="str">
        <x:v>其他扣非归母校准残差</x:v>
      </x:c>
      <x:c r="B29" s="2"/>
      <x:c r="C29" s="10" t="n">
        <x:f>C30-(C25-C27-C28)*(1-C34)</x:f>
        <x:v>10.346477013999902</x:v>
      </x:c>
      <x:c r="D29" s="10" t="n">
        <x:f>$C$29</x:f>
        <x:v>10.346477013999902</x:v>
      </x:c>
      <x:c r="E29" s="10" t="n">
        <x:f>$C$29</x:f>
        <x:v>10.346477013999902</x:v>
      </x:c>
      <x:c r="F29" s="10" t="n">
        <x:f>$C$29</x:f>
        <x:v>10.346477013999902</x:v>
      </x:c>
      <x:c r="G29" s="10" t="n">
        <x:f>$C$29</x:f>
        <x:v>10.346477013999902</x:v>
      </x:c>
      <x:c r="H29" s="10" t="n">
        <x:f>$C$29</x:f>
        <x:v>10.346477013999902</x:v>
      </x:c>
      <x:c r="I29" s="2"/>
      <x:c r="J29" s="37" t="str">
        <x:v>校准税、其他经常损益/少数股东差异；恒定不是长期预测。</x:v>
      </x:c>
      <x:c r="K29" s="37"/>
      <x:c r="L29" s="37"/>
      <x:c r="M29" s="37"/>
      <x:c r="N29" s="37"/>
    </x:row>
    <x:row r="30" ht="25" customHeight="1">
      <x:c r="A30" s="6" t="str">
        <x:v>集团条件扣非归母</x:v>
      </x:c>
      <x:c r="B30" s="6"/>
      <x:c r="C30" s="25" t="n">
        <x:f>Actuals!E50</x:f>
        <x:v>184.66460843000002</x:v>
      </x:c>
      <x:c r="D30" s="24" t="n">
        <x:f>(D25-D27-D28)*(1-$C$34)+D29</x:f>
        <x:v>257.2655780301271</x:v>
      </x:c>
      <x:c r="E30" s="24" t="n">
        <x:f>(E25-E27-E28)*(1-$C$34)+E29</x:f>
        <x:v>295.8524944166223</x:v>
      </x:c>
      <x:c r="F30" s="24" t="n">
        <x:f>(F25-F27-F28)*(1-$C$34)+F29</x:f>
        <x:v>329.68200150979555</x:v>
      </x:c>
      <x:c r="G30" s="24" t="n">
        <x:f>(G25-G27-G28)*(1-$C$34)+G29</x:f>
        <x:v>352.35535086715714</x:v>
      </x:c>
      <x:c r="H30" s="24" t="n">
        <x:f>(H25-H27-H28)*(1-$C$34)+H29</x:f>
        <x:v>364.8909482419348</x:v>
      </x:c>
      <x:c r="I30" s="2"/>
      <x:c r="J30" s="37"/>
      <x:c r="K30" s="37"/>
      <x:c r="L30" s="37"/>
      <x:c r="M30" s="37"/>
      <x:c r="N30" s="37"/>
    </x:row>
    <x:row r="31" ht="25" customHeight="1">
      <x:c r="A31" s="6" t="str">
        <x:v>静态股本 百万</x:v>
      </x:c>
      <x:c r="B31" s="6"/>
      <x:c r="C31" s="24" t="n">
        <x:f>125.284355</x:f>
        <x:v>125.284355</x:v>
      </x:c>
      <x:c r="D31" s="24" t="n">
        <x:f>125.284355</x:f>
        <x:v>125.284355</x:v>
      </x:c>
      <x:c r="E31" s="24" t="n">
        <x:f>125.284355</x:f>
        <x:v>125.284355</x:v>
      </x:c>
      <x:c r="F31" s="24" t="n">
        <x:f>125.284355</x:f>
        <x:v>125.284355</x:v>
      </x:c>
      <x:c r="G31" s="24" t="n">
        <x:f>125.284355</x:f>
        <x:v>125.284355</x:v>
      </x:c>
      <x:c r="H31" s="24" t="n">
        <x:f>125.284355</x:f>
        <x:v>125.284355</x:v>
      </x:c>
      <x:c r="I31" s="2"/>
      <x:c r="J31" s="37"/>
      <x:c r="K31" s="37"/>
      <x:c r="L31" s="37"/>
      <x:c r="M31" s="37"/>
      <x:c r="N31" s="37"/>
    </x:row>
    <x:row r="32" ht="25" customHeight="1">
      <x:c r="A32" s="6" t="str">
        <x:v>集团条件EPS</x:v>
      </x:c>
      <x:c r="B32" s="6"/>
      <x:c r="C32" s="43" t="n">
        <x:f>C30/C31</x:f>
        <x:v>1.4739638355483413</x:v>
      </x:c>
      <x:c r="D32" s="43" t="n">
        <x:f>D30/D31</x:f>
        <x:v>2.0534533464304228</x:v>
      </x:c>
      <x:c r="E32" s="43" t="n">
        <x:f>E30/E31</x:f>
        <x:v>2.361448038876221</x:v>
      </x:c>
      <x:c r="F32" s="43" t="n">
        <x:f>F30/F31</x:f>
        <x:v>2.631469839229292</x:v>
      </x:c>
      <x:c r="G32" s="43" t="n">
        <x:f>G30/G31</x:f>
        <x:v>2.812444944679303</x:v>
      </x:c>
      <x:c r="H32" s="43" t="n">
        <x:f>H30/H31</x:f>
        <x:v>2.9125021096363928</x:v>
      </x:c>
      <x:c r="I32" s="2"/>
      <x:c r="J32" s="37"/>
      <x:c r="K32" s="37"/>
      <x:c r="L32" s="37"/>
      <x:c r="M32" s="37"/>
      <x:c r="N32" s="37"/>
    </x:row>
    <x:row r="33" ht="25" customHeight="1">
      <x:c r="A33" s="2"/>
      <x:c r="B33" s="2"/>
      <x:c r="C33" s="10"/>
      <x:c r="D33" s="10"/>
      <x:c r="E33" s="10"/>
      <x:c r="F33" s="10"/>
      <x:c r="G33" s="10"/>
      <x:c r="H33" s="10"/>
      <x:c r="I33" s="2"/>
      <x:c r="J33" s="37"/>
      <x:c r="K33" s="37"/>
      <x:c r="L33" s="37"/>
      <x:c r="M33" s="37"/>
      <x:c r="N33" s="37"/>
    </x:row>
    <x:row r="34" ht="25" customHeight="1">
      <x:c r="A34" s="2" t="str">
        <x:v>税率假设</x:v>
      </x:c>
      <x:c r="B34" s="2"/>
      <x:c r="C34" s="14" t="n">
        <x:v>0.2</x:v>
      </x:c>
      <x:c r="D34" s="18"/>
      <x:c r="E34" s="18"/>
      <x:c r="F34" s="18"/>
      <x:c r="G34" s="18"/>
      <x:c r="H34" s="18"/>
      <x:c r="I34" s="2"/>
      <x:c r="J34" s="37"/>
      <x:c r="K34" s="37"/>
      <x:c r="L34" s="37"/>
      <x:c r="M34" s="37"/>
      <x:c r="N34" s="37"/>
    </x:row>
    <x:row r="35" ht="23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2"/>
      <x:c r="K36" s="2"/>
      <x:c r="L36" s="2"/>
      <x:c r="M36" s="2"/>
      <x:c r="N36" s="2"/>
    </x:row>
    <x:row r="37" ht="27" customHeight="1">
      <x:c r="A37" s="45" t="str">
        <x:v>美好：全球供应链对照，组件净价不等于终端OOP</x:v>
      </x:c>
      <x:c r="B37" s="45"/>
      <x:c r="C37" s="46"/>
      <x:c r="D37" s="46"/>
      <x:c r="E37" s="46"/>
      <x:c r="F37" s="46"/>
      <x:c r="G37" s="46"/>
      <x:c r="H37" s="46"/>
      <x:c r="I37" s="2"/>
      <x:c r="J37" s="2"/>
      <x:c r="K37" s="2" t="str">
        <x:v>年份</x:v>
      </x:c>
      <x:c r="L37" s="2" t="str">
        <x:v>国内收入</x:v>
      </x:c>
      <x:c r="M37" s="2" t="str">
        <x:v>海外收入</x:v>
      </x:c>
      <x:c r="N37" s="2"/>
    </x:row>
    <x:row r="38" ht="23" customHeight="1">
      <x:c r="A38" s="2"/>
      <x:c r="B38" s="2"/>
      <x:c r="C38" s="10"/>
      <x:c r="D38" s="10"/>
      <x:c r="E38" s="10"/>
      <x:c r="F38" s="10"/>
      <x:c r="G38" s="10"/>
      <x:c r="H38" s="10"/>
      <x:c r="I38" s="2"/>
      <x:c r="J38" s="2"/>
      <x:c r="K38" s="2" t="str">
        <x:v>2025</x:v>
      </x:c>
      <x:c r="L38" s="10" t="n">
        <x:f>C12</x:f>
        <x:v>392.58181553</x:v>
      </x:c>
      <x:c r="M38" s="10" t="n">
        <x:f>C20</x:f>
        <x:v>766.8346649700001</x:v>
      </x:c>
      <x:c r="N38" s="2"/>
    </x:row>
    <x:row r="39" ht="23" customHeight="1">
      <x:c r="A39" s="2" t="str">
        <x:v>呼吸/监护数量指数</x:v>
      </x:c>
      <x:c r="B39" s="2"/>
      <x:c r="C39" s="10" t="n">
        <x:v>100</x:v>
      </x:c>
      <x:c r="D39" s="21" t="n">
        <x:f>C39*(1+Assumptions!D267)*(1+Summary!$B$4)</x:f>
        <x:v>110.00000000000001</x:v>
      </x:c>
      <x:c r="E39" s="21" t="n">
        <x:f>D39*(1+Assumptions!E267)</x:f>
        <x:v>121.00000000000003</x:v>
      </x:c>
      <x:c r="F39" s="21" t="n">
        <x:f>E39*(1+Assumptions!F267)</x:f>
        <x:v>133.10000000000005</x:v>
      </x:c>
      <x:c r="G39" s="21" t="n">
        <x:f>F39*(1+Assumptions!G267)</x:f>
        <x:v>143.74800000000008</x:v>
      </x:c>
      <x:c r="H39" s="21" t="n">
        <x:f>G39*(1+Assumptions!H267)</x:f>
        <x:v>155.24784000000008</x:v>
      </x:c>
      <x:c r="I39" s="2"/>
      <x:c r="J39" s="2"/>
      <x:c r="K39" s="2" t="str">
        <x:v>2026</x:v>
      </x:c>
      <x:c r="L39" s="10" t="n">
        <x:f>D12</x:f>
        <x:v>600.6501777609</x:v>
      </x:c>
      <x:c r="M39" s="10" t="n">
        <x:f>D20</x:f>
        <x:v>958.0424923219415</x:v>
      </x:c>
      <x:c r="N39" s="2"/>
    </x:row>
    <x:row r="40" ht="23" customHeight="1">
      <x:c r="A40" s="2" t="str">
        <x:v>呼吸/监护净价指数</x:v>
      </x:c>
      <x:c r="B40" s="2"/>
      <x:c r="C40" s="10" t="n">
        <x:v>100</x:v>
      </x:c>
      <x:c r="D40" s="21" t="n">
        <x:f>C40*(1+Assumptions!D277)</x:f>
        <x:v>99</x:v>
      </x:c>
      <x:c r="E40" s="21" t="n">
        <x:f>D40*(1+Assumptions!E277)</x:f>
        <x:v>98.01</x:v>
      </x:c>
      <x:c r="F40" s="21" t="n">
        <x:f>E40*(1+Assumptions!F277)</x:f>
        <x:v>97.0299</x:v>
      </x:c>
      <x:c r="G40" s="21" t="n">
        <x:f>F40*(1+Assumptions!G277)</x:f>
        <x:v>96.059601</x:v>
      </x:c>
      <x:c r="H40" s="21" t="n">
        <x:f>G40*(1+Assumptions!H277)</x:f>
        <x:v>95.09900499</x:v>
      </x:c>
      <x:c r="I40" s="2"/>
      <x:c r="J40" s="2"/>
      <x:c r="K40" s="2" t="str">
        <x:v>2027</x:v>
      </x:c>
      <x:c r="L40" s="10" t="n">
        <x:f>E12</x:f>
        <x:v>671.3827426940235</x:v>
      </x:c>
      <x:c r="M40" s="10" t="n">
        <x:f>E20</x:f>
        <x:v>1074.5020860231111</x:v>
      </x:c>
      <x:c r="N40" s="2"/>
    </x:row>
    <x:row r="41" ht="23" customHeight="1">
      <x:c r="A41" s="2" t="str">
        <x:v>呼吸/监护收入</x:v>
      </x:c>
      <x:c r="B41" s="2"/>
      <x:c r="C41" s="10" t="n">
        <x:v>999.8698512799999</x:v>
      </x:c>
      <x:c r="D41" s="10" t="n">
        <x:f>$C$41*D39/100*D40/100</x:f>
        <x:v>1088.8582680439201</x:v>
      </x:c>
      <x:c r="E41" s="10" t="n">
        <x:f>$C$41*E39/100*E40/100</x:f>
        <x:v>1185.7666538998292</x:v>
      </x:c>
      <x:c r="F41" s="10" t="n">
        <x:f>$C$41*F39/100*F40/100</x:f>
        <x:v>1291.299886096914</x:v>
      </x:c>
      <x:c r="G41" s="10" t="n">
        <x:f>$C$41*G39/100*G40/100</x:f>
        <x:v>1380.6578382148207</x:v>
      </x:c>
      <x:c r="H41" s="10" t="n">
        <x:f>$C$41*H39/100*H40/100</x:f>
        <x:v>1476.1993606192864</x:v>
      </x:c>
      <x:c r="I41" s="2"/>
      <x:c r="J41" s="2"/>
      <x:c r="K41" s="2" t="str">
        <x:v>2028</x:v>
      </x:c>
      <x:c r="L41" s="10" t="n">
        <x:f>F12</x:f>
        <x:v>729.0823765151822</x:v>
      </x:c>
      <x:c r="M41" s="10" t="n">
        <x:f>F20</x:f>
        <x:v>1161.7620507105432</x:v>
      </x:c>
      <x:c r="N41" s="2"/>
    </x:row>
    <x:row r="42" ht="23" customHeight="1">
      <x:c r="A42" s="2" t="str">
        <x:v>呼吸/监护毛利率</x:v>
      </x:c>
      <x:c r="B42" s="2"/>
      <x:c r="C42" s="18" t="n">
        <x:v>0.4379</x:v>
      </x:c>
      <x:c r="D42" s="41" t="n">
        <x:f>Assumptions!D282</x:f>
        <x:v>0.435</x:v>
      </x:c>
      <x:c r="E42" s="41" t="n">
        <x:f>Assumptions!E282</x:f>
        <x:v>0.435</x:v>
      </x:c>
      <x:c r="F42" s="41" t="n">
        <x:f>Assumptions!F282</x:f>
        <x:v>0.435</x:v>
      </x:c>
      <x:c r="G42" s="41" t="n">
        <x:f>Assumptions!G282</x:f>
        <x:v>0.435</x:v>
      </x:c>
      <x:c r="H42" s="41" t="n">
        <x:f>Assumptions!H282</x:f>
        <x:v>0.435</x:v>
      </x:c>
      <x:c r="I42" s="2"/>
      <x:c r="J42" s="2"/>
      <x:c r="K42" s="2" t="str">
        <x:v>2029</x:v>
      </x:c>
      <x:c r="L42" s="10" t="n">
        <x:f>G12</x:f>
        <x:v>775.6951858003213</x:v>
      </x:c>
      <x:c r="M42" s="10" t="n">
        <x:f>G20</x:f>
        <x:v>1226.805072535054</x:v>
      </x:c>
      <x:c r="N42" s="2"/>
    </x:row>
    <x:row r="43" ht="23" customHeight="1">
      <x:c r="A43" s="2" t="str">
        <x:v>其他收入</x:v>
      </x:c>
      <x:c r="B43" s="2"/>
      <x:c r="C43" s="21" t="n">
        <x:f>Actuals!C46-C41</x:f>
        <x:v>625.6166891400001</x:v>
      </x:c>
      <x:c r="D43" s="21" t="n">
        <x:f>C43*(1+Assumptions!D272)</x:f>
        <x:v>719.459192511</x:v>
      </x:c>
      <x:c r="E43" s="21" t="n">
        <x:f>D43*(1+Assumptions!E272)</x:f>
        <x:v>827.3780713876499</x:v>
      </x:c>
      <x:c r="F43" s="21" t="n">
        <x:f>E43*(1+Assumptions!F272)</x:f>
        <x:v>926.663439954168</x:v>
      </x:c>
      <x:c r="G43" s="21" t="n">
        <x:f>F43*(1+Assumptions!G272)</x:f>
        <x:v>1019.3297839495849</x:v>
      </x:c>
      <x:c r="H43" s="21" t="n">
        <x:f>G43*(1+Assumptions!H272)</x:f>
        <x:v>1121.2627623445435</x:v>
      </x:c>
      <x:c r="I43" s="2"/>
      <x:c r="J43" s="2"/>
      <x:c r="K43" s="2" t="str">
        <x:v>2030</x:v>
      </x:c>
      <x:c r="L43" s="10" t="n">
        <x:f>H12</x:f>
        <x:v>829.2886713647073</x:v>
      </x:c>
      <x:c r="M43" s="10" t="n">
        <x:f>H20</x:f>
        <x:v>1277.1815629346252</x:v>
      </x:c>
      <x:c r="N43" s="2"/>
    </x:row>
    <x:row r="44" ht="23" customHeight="1">
      <x:c r="A44" s="2" t="str">
        <x:v>其他毛利率</x:v>
      </x:c>
      <x:c r="B44" s="2"/>
      <x:c r="C44" s="18" t="n">
        <x:v>0.34186014807884973</x:v>
      </x:c>
      <x:c r="D44" s="41" t="n">
        <x:f>Assumptions!D287</x:f>
        <x:v>0.34</x:v>
      </x:c>
      <x:c r="E44" s="41" t="n">
        <x:f>Assumptions!E287</x:f>
        <x:v>0.34</x:v>
      </x:c>
      <x:c r="F44" s="41" t="n">
        <x:f>Assumptions!F287</x:f>
        <x:v>0.34</x:v>
      </x:c>
      <x:c r="G44" s="41" t="n">
        <x:f>Assumptions!G287</x:f>
        <x:v>0.34</x:v>
      </x:c>
      <x:c r="H44" s="41" t="n">
        <x:f>Assumptions!H287</x:f>
        <x:v>0.34</x:v>
      </x:c>
      <x:c r="I44" s="2"/>
      <x:c r="J44" s="2"/>
      <x:c r="K44" s="2"/>
      <x:c r="L44" s="2"/>
      <x:c r="M44" s="2"/>
      <x:c r="N44" s="2"/>
    </x:row>
    <x:row r="45" ht="23" customHeight="1">
      <x:c r="A45" s="2" t="str">
        <x:v>集团收入</x:v>
      </x:c>
      <x:c r="B45" s="2"/>
      <x:c r="C45" s="21" t="n">
        <x:f>Actuals!C46</x:f>
        <x:v>1625.48654042</x:v>
      </x:c>
      <x:c r="D45" s="10" t="n">
        <x:f>D41+D43</x:f>
        <x:v>1808.3174605549202</x:v>
      </x:c>
      <x:c r="E45" s="10" t="n">
        <x:f>E41+E43</x:f>
        <x:v>2013.144725287479</x:v>
      </x:c>
      <x:c r="F45" s="10" t="n">
        <x:f>F41+F43</x:f>
        <x:v>2217.963326051082</x:v>
      </x:c>
      <x:c r="G45" s="10" t="n">
        <x:f>G41+G43</x:f>
        <x:v>2399.9876221644054</x:v>
      </x:c>
      <x:c r="H45" s="10" t="n">
        <x:f>H41+H43</x:f>
        <x:v>2597.4621229638296</x:v>
      </x:c>
      <x:c r="I45" s="2"/>
      <x:c r="J45" s="2"/>
      <x:c r="K45" s="2"/>
      <x:c r="L45" s="2"/>
      <x:c r="M45" s="2"/>
      <x:c r="N45" s="2"/>
    </x:row>
    <x:row r="46" ht="23" customHeight="1">
      <x:c r="A46" s="2" t="str">
        <x:v>集团毛利额</x:v>
      </x:c>
      <x:c r="B46" s="2"/>
      <x:c r="C46" s="10" t="n">
        <x:v>651.69553157</x:v>
      </x:c>
      <x:c r="D46" s="10" t="n">
        <x:f>D41*D42+D43*D44</x:f>
        <x:v>718.2694720528452</x:v>
      </x:c>
      <x:c r="E46" s="10" t="n">
        <x:f>E41*E42+E43*E44</x:f>
        <x:v>797.1170387182267</x:v>
      </x:c>
      <x:c r="F46" s="10" t="n">
        <x:f>F41*F42+F43*F44</x:f>
        <x:v>876.7810200365748</x:v>
      </x:c>
      <x:c r="G46" s="10" t="n">
        <x:f>G41*G42+G43*G44</x:f>
        <x:v>947.1582861663059</x:v>
      </x:c>
      <x:c r="H46" s="10" t="n">
        <x:f>H41*H42+H43*H44</x:f>
        <x:v>1023.3760610665345</x:v>
      </x:c>
      <x:c r="I46" s="2"/>
      <x:c r="J46" s="2"/>
      <x:c r="K46" s="2"/>
      <x:c r="L46" s="2"/>
      <x:c r="M46" s="2"/>
      <x:c r="N46" s="2"/>
    </x:row>
    <x:row r="47" ht="23" customHeight="1">
      <x:c r="A47" s="2" t="str">
        <x:v>新增费用 vs2025</x:v>
      </x:c>
      <x:c r="B47" s="2"/>
      <x:c r="C47" s="10" t="n">
        <x:v>0</x:v>
      </x:c>
      <x:c r="D47" s="21" t="n">
        <x:f>(D45-$C$45)*Assumptions!D292+Assumptions!D297/1000000*(1+Assumptions!D302)^(D$5-2026)</x:f>
        <x:v>66.56618402698405</x:v>
      </x:c>
      <x:c r="E47" s="21" t="n">
        <x:f>(E45-$C$45)*Assumptions!E292+Assumptions!E297/1000000*(1+Assumptions!E302)^(E$5-2026)</x:f>
        <x:v>109.93163697349584</x:v>
      </x:c>
      <x:c r="F47" s="21" t="n">
        <x:f>(F45-$C$45)*Assumptions!F292+Assumptions!F297/1000000*(1+Assumptions!F302)^(F$5-2026)</x:f>
        <x:v>153.48735712621638</x:v>
      </x:c>
      <x:c r="G47" s="21" t="n">
        <x:f>(G45-$C$45)*Assumptions!G292+Assumptions!G297/1000000*(1+Assumptions!G302)^(G$5-2026)</x:f>
        <x:v>192.69157634888109</x:v>
      </x:c>
      <x:c r="H47" s="21" t="n">
        <x:f>(H45-$C$45)*Assumptions!H292+Assumptions!H297/1000000*(1+Assumptions!H302)^(H$5-2026)</x:f>
        <x:v>235.20978530876596</x:v>
      </x:c>
      <x:c r="I47" s="2"/>
      <x:c r="J47" s="2"/>
      <x:c r="K47" s="2"/>
      <x:c r="L47" s="2"/>
      <x:c r="M47" s="2"/>
      <x:c r="N47" s="2"/>
    </x:row>
    <x:row r="48" ht="23" customHeight="1">
      <x:c r="A48" s="2" t="str">
        <x:v>集团条件扣非归母</x:v>
      </x:c>
      <x:c r="B48" s="2"/>
      <x:c r="C48" s="21" t="n">
        <x:f>Actuals!E46</x:f>
        <x:v>277.4906866</x:v>
      </x:c>
      <x:c r="D48" s="10" t="n">
        <x:f>$C$48+(D46-$C$46-D47)*(1-$C$34)</x:f>
        <x:v>277.496891764689</x:v>
      </x:c>
      <x:c r="E48" s="10" t="n">
        <x:f>$C$48+(E46-$C$46-E47)*(1-$C$34)</x:f>
        <x:v>305.8825827397847</x:v>
      </x:c>
      <x:c r="F48" s="10" t="n">
        <x:f>$C$48+(F46-$C$46-F47)*(1-$C$34)</x:f>
        <x:v>334.76919167228675</x:v>
      </x:c>
      <x:c r="G48" s="10" t="n">
        <x:f>$C$48+(G46-$C$46-G47)*(1-$C$34)</x:f>
        <x:v>359.70762919793987</x:v>
      </x:c>
      <x:c r="H48" s="10" t="n">
        <x:f>$C$48+(H46-$C$46-H47)*(1-$C$34)</x:f>
        <x:v>386.66728195021483</x:v>
      </x:c>
      <x:c r="I48" s="2"/>
      <x:c r="J48" s="2"/>
      <x:c r="K48" s="2"/>
      <x:c r="L48" s="2"/>
      <x:c r="M48" s="2"/>
      <x:c r="N48" s="2"/>
    </x:row>
    <x:row r="49" ht="23" customHeight="1">
      <x:c r="A49" s="2" t="str">
        <x:v>静态股本 百万</x:v>
      </x:c>
      <x:c r="B49" s="2"/>
      <x:c r="C49" s="10" t="n">
        <x:f>795.966832</x:f>
        <x:v>795.966832</x:v>
      </x:c>
      <x:c r="D49" s="10" t="n">
        <x:f>795.966832</x:f>
        <x:v>795.966832</x:v>
      </x:c>
      <x:c r="E49" s="10" t="n">
        <x:f>795.966832</x:f>
        <x:v>795.966832</x:v>
      </x:c>
      <x:c r="F49" s="10" t="n">
        <x:f>795.966832</x:f>
        <x:v>795.966832</x:v>
      </x:c>
      <x:c r="G49" s="10" t="n">
        <x:f>795.966832</x:f>
        <x:v>795.966832</x:v>
      </x:c>
      <x:c r="H49" s="10" t="n">
        <x:f>795.966832</x:f>
        <x:v>795.966832</x:v>
      </x:c>
      <x:c r="I49" s="2"/>
      <x:c r="J49" s="2"/>
      <x:c r="K49" s="2"/>
      <x:c r="L49" s="2"/>
      <x:c r="M49" s="2"/>
      <x:c r="N49" s="2"/>
    </x:row>
    <x:row r="50" ht="23" customHeight="1">
      <x:c r="A50" s="2" t="str">
        <x:v>集团条件EPS</x:v>
      </x:c>
      <x:c r="B50" s="2"/>
      <x:c r="C50" s="42" t="n">
        <x:f>C48/C49</x:f>
        <x:v>0.34862091665648703</x:v>
      </x:c>
      <x:c r="D50" s="42" t="n">
        <x:f>D48/D49</x:f>
        <x:v>0.34862871241434973</x:v>
      </x:c>
      <x:c r="E50" s="42" t="n">
        <x:f>E48/E49</x:f>
        <x:v>0.3842906141845176</x:v>
      </x:c>
      <x:c r="F50" s="42" t="n">
        <x:f>F48/F49</x:f>
        <x:v>0.42058183609375166</x:v>
      </x:c>
      <x:c r="G50" s="42" t="n">
        <x:f>G48/G49</x:f>
        <x:v>0.45191283698858936</x:v>
      </x:c>
      <x:c r="H50" s="42" t="n">
        <x:f>H48/H49</x:f>
        <x:v>0.48578315880154016</x:v>
      </x:c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37:H37"/>
    <x:mergeCell ref="J6:N6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</x:mergeCells>
  <x:pageMargins left="0.7" right="0.7" top="0.75" bottom="0.75" header="0.3" footer="0.3"/>
  <x:drawing xmlns:r="http://schemas.openxmlformats.org/officeDocument/2006/relationships" r:id="Rc0930cd1077d4a62"/>
</x:worksheet>
</file>

<file path=xl/worksheets/sheet7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单位经济性与盈亏门槛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8" t="str">
        <x:v>参数 / 当前测算</x:v>
      </x:c>
      <x:c r="D5" s="9"/>
      <x:c r="E5" s="9"/>
      <x:c r="F5" s="9"/>
      <x:c r="G5" s="9"/>
      <x:c r="H5" s="9"/>
      <x:c r="I5" s="2"/>
      <x:c r="J5" s="2"/>
      <x:c r="K5" s="2"/>
      <x:c r="L5" s="2"/>
      <x:c r="M5" s="2"/>
      <x:c r="N5" s="2"/>
    </x:row>
    <x:row r="6" ht="25" customHeight="1">
      <x:c r="A6" s="45" t="str">
        <x:v>CGM：使用时长与净价，先检验贡献再看用户数</x:v>
      </x:c>
      <x:c r="B6" s="45"/>
      <x:c r="C6" s="46"/>
      <x:c r="D6" s="46"/>
      <x:c r="E6" s="46"/>
      <x:c r="F6" s="46"/>
      <x:c r="G6" s="46"/>
      <x:c r="H6" s="46"/>
      <x:c r="I6" s="2"/>
      <x:c r="J6" s="37"/>
      <x:c r="K6" s="37"/>
      <x:c r="L6" s="37"/>
      <x:c r="M6" s="37"/>
      <x:c r="N6" s="37"/>
    </x:row>
    <x:row r="7" ht="25" customHeight="1">
      <x:c r="A7" s="2"/>
      <x:c r="B7" s="2"/>
      <x:c r="C7" s="10"/>
      <x:c r="D7" s="10"/>
      <x:c r="E7" s="10"/>
      <x:c r="F7" s="10"/>
      <x:c r="G7" s="10"/>
      <x:c r="H7" s="10"/>
      <x:c r="I7" s="2"/>
      <x:c r="J7" s="37"/>
      <x:c r="K7" s="37"/>
      <x:c r="L7" s="37"/>
      <x:c r="M7" s="37"/>
      <x:c r="N7" s="37"/>
    </x:row>
    <x:row r="8" ht="25" customHeight="1">
      <x:c r="A8" s="2" t="str">
        <x:v>净厂商ASP 元/支</x:v>
      </x:c>
      <x:c r="B8" s="2"/>
      <x:c r="C8" s="23" t="n">
        <x:v>150</x:v>
      </x:c>
      <x:c r="D8" s="10"/>
      <x:c r="E8" s="10"/>
      <x:c r="F8" s="10"/>
      <x:c r="G8" s="10"/>
      <x:c r="H8" s="10"/>
      <x:c r="I8" s="2"/>
      <x:c r="J8" s="37" t="str">
        <x:v>输入均为示意；终端券价≠厂家净ASP。</x:v>
      </x:c>
      <x:c r="K8" s="37"/>
      <x:c r="L8" s="37"/>
      <x:c r="M8" s="37"/>
      <x:c r="N8" s="37"/>
    </x:row>
    <x:row r="9" ht="25" customHeight="1">
      <x:c r="A9" s="2" t="str">
        <x:v>制造变动成本 元/支</x:v>
      </x:c>
      <x:c r="B9" s="2"/>
      <x:c r="C9" s="23" t="n">
        <x:v>60</x:v>
      </x:c>
      <x:c r="D9" s="10"/>
      <x:c r="E9" s="10"/>
      <x:c r="F9" s="10"/>
      <x:c r="G9" s="10"/>
      <x:c r="H9" s="10"/>
      <x:c r="I9" s="2"/>
      <x:c r="J9" s="37"/>
      <x:c r="K9" s="37"/>
      <x:c r="L9" s="37"/>
      <x:c r="M9" s="37"/>
      <x:c r="N9" s="37"/>
    </x:row>
    <x:row r="10" ht="25" customHeight="1">
      <x:c r="A10" s="2" t="str">
        <x:v>平台/经销费用率</x:v>
      </x:c>
      <x:c r="B10" s="2"/>
      <x:c r="C10" s="14" t="n">
        <x:v>0.3</x:v>
      </x:c>
      <x:c r="D10" s="10"/>
      <x:c r="E10" s="10"/>
      <x:c r="F10" s="10"/>
      <x:c r="G10" s="10"/>
      <x:c r="H10" s="10"/>
      <x:c r="I10" s="2"/>
      <x:c r="J10" s="37"/>
      <x:c r="K10" s="37"/>
      <x:c r="L10" s="37"/>
      <x:c r="M10" s="37"/>
      <x:c r="N10" s="37"/>
    </x:row>
    <x:row r="11" ht="25" customHeight="1">
      <x:c r="A11" s="2" t="str">
        <x:v>售后服务 元/支</x:v>
      </x:c>
      <x:c r="B11" s="2"/>
      <x:c r="C11" s="23" t="n">
        <x:v>5</x:v>
      </x:c>
      <x:c r="D11" s="10"/>
      <x:c r="E11" s="10"/>
      <x:c r="F11" s="10"/>
      <x:c r="G11" s="10"/>
      <x:c r="H11" s="10"/>
      <x:c r="I11" s="2"/>
      <x:c r="J11" s="37"/>
      <x:c r="K11" s="37"/>
      <x:c r="L11" s="37"/>
      <x:c r="M11" s="37"/>
      <x:c r="N11" s="37"/>
    </x:row>
    <x:row r="12" ht="25" customHeight="1">
      <x:c r="A12" s="2" t="str">
        <x:v>每新客CAC 元</x:v>
      </x:c>
      <x:c r="B12" s="2"/>
      <x:c r="C12" s="23" t="n">
        <x:v>0</x:v>
      </x:c>
      <x:c r="D12" s="10"/>
      <x:c r="E12" s="10"/>
      <x:c r="F12" s="10"/>
      <x:c r="G12" s="10"/>
      <x:c r="H12" s="10"/>
      <x:c r="I12" s="2"/>
      <x:c r="J12" s="37"/>
      <x:c r="K12" s="37"/>
      <x:c r="L12" s="37"/>
      <x:c r="M12" s="37"/>
      <x:c r="N12" s="37"/>
    </x:row>
    <x:row r="13" ht="25" customHeight="1">
      <x:c r="A13" s="2" t="str">
        <x:v>新客占付费用户比例</x:v>
      </x:c>
      <x:c r="B13" s="2"/>
      <x:c r="C13" s="14" t="n">
        <x:v>0.5</x:v>
      </x:c>
      <x:c r="D13" s="10"/>
      <x:c r="E13" s="10"/>
      <x:c r="F13" s="10"/>
      <x:c r="G13" s="10"/>
      <x:c r="H13" s="10"/>
      <x:c r="I13" s="2"/>
      <x:c r="J13" s="37"/>
      <x:c r="K13" s="37"/>
      <x:c r="L13" s="37"/>
      <x:c r="M13" s="37"/>
      <x:c r="N13" s="37"/>
    </x:row>
    <x:row r="14" ht="25" customHeight="1">
      <x:c r="A14" s="2" t="str">
        <x:v>年固定费用 百万元</x:v>
      </x:c>
      <x:c r="B14" s="2"/>
      <x:c r="C14" s="23" t="n">
        <x:v>100</x:v>
      </x:c>
      <x:c r="D14" s="10"/>
      <x:c r="E14" s="10"/>
      <x:c r="F14" s="10"/>
      <x:c r="G14" s="10"/>
      <x:c r="H14" s="10"/>
      <x:c r="I14" s="2"/>
      <x:c r="J14" s="37"/>
      <x:c r="K14" s="37"/>
      <x:c r="L14" s="37"/>
      <x:c r="M14" s="37"/>
      <x:c r="N14" s="37"/>
    </x:row>
    <x:row r="15" ht="25" customHeight="1">
      <x:c r="A15" s="2" t="str">
        <x:v>单传感器寿命 天</x:v>
      </x:c>
      <x:c r="B15" s="2"/>
      <x:c r="C15" s="23" t="n">
        <x:v>15</x:v>
      </x:c>
      <x:c r="D15" s="10"/>
      <x:c r="E15" s="10"/>
      <x:c r="F15" s="10"/>
      <x:c r="G15" s="10"/>
      <x:c r="H15" s="10"/>
      <x:c r="I15" s="2"/>
      <x:c r="J15" s="37"/>
      <x:c r="K15" s="37"/>
      <x:c r="L15" s="37"/>
      <x:c r="M15" s="37"/>
      <x:c r="N15" s="37"/>
    </x:row>
    <x:row r="16" ht="25" customHeight="1">
      <x:c r="A16" s="2" t="str">
        <x:v>年实际付费佩戴 天</x:v>
      </x:c>
      <x:c r="B16" s="2"/>
      <x:c r="C16" s="23" t="n">
        <x:v>90</x:v>
      </x:c>
      <x:c r="D16" s="10"/>
      <x:c r="E16" s="10"/>
      <x:c r="F16" s="10"/>
      <x:c r="G16" s="10"/>
      <x:c r="H16" s="10"/>
      <x:c r="I16" s="2"/>
      <x:c r="J16" s="37"/>
      <x:c r="K16" s="37"/>
      <x:c r="L16" s="37"/>
      <x:c r="M16" s="37"/>
      <x:c r="N16" s="37"/>
    </x:row>
    <x:row r="17" ht="25" customHeight="1">
      <x:c r="A17" s="2" t="str">
        <x:v>付费用户 万人</x:v>
      </x:c>
      <x:c r="B17" s="2"/>
      <x:c r="C17" s="23" t="n">
        <x:v>50</x:v>
      </x:c>
      <x:c r="D17" s="10"/>
      <x:c r="E17" s="10"/>
      <x:c r="F17" s="10"/>
      <x:c r="G17" s="10"/>
      <x:c r="H17" s="10"/>
      <x:c r="I17" s="2"/>
      <x:c r="J17" s="37"/>
      <x:c r="K17" s="37"/>
      <x:c r="L17" s="37"/>
      <x:c r="M17" s="37"/>
      <x:c r="N17" s="37"/>
    </x:row>
    <x:row r="18" ht="25" customHeight="1">
      <x:c r="A18" s="2"/>
      <x:c r="B18" s="2"/>
      <x:c r="C18" s="10"/>
      <x:c r="D18" s="10"/>
      <x:c r="E18" s="10"/>
      <x:c r="F18" s="10"/>
      <x:c r="G18" s="10"/>
      <x:c r="H18" s="10"/>
      <x:c r="I18" s="2"/>
      <x:c r="J18" s="37"/>
      <x:c r="K18" s="37"/>
      <x:c r="L18" s="37"/>
      <x:c r="M18" s="37"/>
      <x:c r="N18" s="37"/>
    </x:row>
    <x:row r="19" ht="25" customHeight="1">
      <x:c r="A19" s="2" t="str">
        <x:v>单支贡献 元</x:v>
      </x:c>
      <x:c r="B19" s="2"/>
      <x:c r="C19" s="10" t="n">
        <x:f>C8-C9-C8*C10-C11</x:f>
        <x:v>40</x:v>
      </x:c>
      <x:c r="D19" s="10"/>
      <x:c r="E19" s="10"/>
      <x:c r="F19" s="10"/>
      <x:c r="G19" s="10"/>
      <x:c r="H19" s="10"/>
      <x:c r="I19" s="2"/>
      <x:c r="J19" s="37"/>
      <x:c r="K19" s="37"/>
      <x:c r="L19" s="37"/>
      <x:c r="M19" s="37"/>
      <x:c r="N19" s="37"/>
    </x:row>
    <x:row r="20" ht="25" customHeight="1">
      <x:c r="A20" s="2" t="str">
        <x:v>年人均付费支数</x:v>
      </x:c>
      <x:c r="B20" s="2"/>
      <x:c r="C20" s="10" t="n">
        <x:f>C16/C15</x:f>
        <x:v>6</x:v>
      </x:c>
      <x:c r="D20" s="10"/>
      <x:c r="E20" s="10"/>
      <x:c r="F20" s="10"/>
      <x:c r="G20" s="10"/>
      <x:c r="H20" s="10"/>
      <x:c r="I20" s="2"/>
      <x:c r="J20" s="37"/>
      <x:c r="K20" s="37"/>
      <x:c r="L20" s="37"/>
      <x:c r="M20" s="37"/>
      <x:c r="N20" s="37"/>
    </x:row>
    <x:row r="21" ht="25" customHeight="1">
      <x:c r="A21" s="2" t="str">
        <x:v>每用户贡献(含获客) 元</x:v>
      </x:c>
      <x:c r="B21" s="2"/>
      <x:c r="C21" s="10" t="n">
        <x:f>C19*C20-C12*C13</x:f>
        <x:v>240</x:v>
      </x:c>
      <x:c r="D21" s="10"/>
      <x:c r="E21" s="10"/>
      <x:c r="F21" s="10"/>
      <x:c r="G21" s="10"/>
      <x:c r="H21" s="10"/>
      <x:c r="I21" s="2"/>
      <x:c r="J21" s="37"/>
      <x:c r="K21" s="37"/>
      <x:c r="L21" s="37"/>
      <x:c r="M21" s="37"/>
      <x:c r="N21" s="37"/>
    </x:row>
    <x:row r="22" ht="25" customHeight="1">
      <x:c r="A22" s="2" t="str">
        <x:v>盈亏平衡付费用户 万人</x:v>
      </x:c>
      <x:c r="B22" s="2"/>
      <x:c r="C22" s="10" t="n">
        <x:f>IF(C21&gt;0,C14*100/C21,"无法以规模打平")</x:f>
        <x:v>41.666666666666664</x:v>
      </x:c>
      <x:c r="D22" s="10"/>
      <x:c r="E22" s="10"/>
      <x:c r="F22" s="10"/>
      <x:c r="G22" s="10"/>
      <x:c r="H22" s="10"/>
      <x:c r="I22" s="2"/>
      <x:c r="J22" s="37"/>
      <x:c r="K22" s="37"/>
      <x:c r="L22" s="37"/>
      <x:c r="M22" s="37"/>
      <x:c r="N22" s="37"/>
    </x:row>
    <x:row r="23" ht="25" customHeight="1">
      <x:c r="A23" s="2" t="str">
        <x:v>CGM收入 百万元</x:v>
      </x:c>
      <x:c r="B23" s="2"/>
      <x:c r="C23" s="10" t="n">
        <x:f>C17*C20*C8/100</x:f>
        <x:v>450</x:v>
      </x:c>
      <x:c r="D23" s="10"/>
      <x:c r="E23" s="10"/>
      <x:c r="F23" s="10"/>
      <x:c r="G23" s="10"/>
      <x:c r="H23" s="10"/>
      <x:c r="I23" s="2"/>
      <x:c r="J23" s="37"/>
      <x:c r="K23" s="37"/>
      <x:c r="L23" s="37"/>
      <x:c r="M23" s="37"/>
      <x:c r="N23" s="37"/>
    </x:row>
    <x:row r="24" ht="25" customHeight="1">
      <x:c r="A24" s="2" t="str">
        <x:v>CGM经营贡献 百万元</x:v>
      </x:c>
      <x:c r="B24" s="2"/>
      <x:c r="C24" s="10" t="n">
        <x:f>C17*C21/100-C14</x:f>
        <x:v>20</x:v>
      </x:c>
      <x:c r="D24" s="10"/>
      <x:c r="E24" s="10"/>
      <x:c r="F24" s="10"/>
      <x:c r="G24" s="10"/>
      <x:c r="H24" s="10"/>
      <x:c r="I24" s="2"/>
      <x:c r="J24" s="37"/>
      <x:c r="K24" s="37"/>
      <x:c r="L24" s="37"/>
      <x:c r="M24" s="37"/>
      <x:c r="N24" s="37"/>
    </x:row>
    <x:row r="25" ht="25" customHeight="1">
      <x:c r="A25" s="2" t="str">
        <x:v>税后贡献(含假设税盾) 百万元</x:v>
      </x:c>
      <x:c r="B25" s="2"/>
      <x:c r="C25" s="10" t="n">
        <x:f>C24*(1-$C$28)</x:f>
        <x:v>16</x:v>
      </x:c>
      <x:c r="D25" s="10"/>
      <x:c r="E25" s="10"/>
      <x:c r="F25" s="10"/>
      <x:c r="G25" s="10"/>
      <x:c r="H25" s="10"/>
      <x:c r="I25" s="2"/>
      <x:c r="J25" s="37" t="str">
        <x:v>亏损税盾未确认：同时看税前经营贡献。</x:v>
      </x:c>
      <x:c r="K25" s="37"/>
      <x:c r="L25" s="37"/>
      <x:c r="M25" s="37"/>
      <x:c r="N25" s="37"/>
    </x:row>
    <x:row r="26" ht="25" customHeight="1">
      <x:c r="A26" s="2" t="str">
        <x:v>三诺归母EPS上限(未扣少数股东)</x:v>
      </x:c>
      <x:c r="B26" s="2"/>
      <x:c r="C26" s="42" t="n">
        <x:f>C25/556.845893</x:f>
        <x:v>0.028733263908619685</x:v>
      </x:c>
      <x:c r="D26" s="10"/>
      <x:c r="E26" s="10"/>
      <x:c r="F26" s="10"/>
      <x:c r="G26" s="10"/>
      <x:c r="H26" s="10"/>
      <x:c r="I26" s="2"/>
      <x:c r="J26" s="37"/>
      <x:c r="K26" s="37"/>
      <x:c r="L26" s="37"/>
      <x:c r="M26" s="37"/>
      <x:c r="N26" s="37"/>
    </x:row>
    <x:row r="27" ht="25" customHeight="1">
      <x:c r="A27" s="2" t="str">
        <x:v>鱼跃归母EPS上限(未扣少数股东)</x:v>
      </x:c>
      <x:c r="B27" s="2"/>
      <x:c r="C27" s="42" t="n">
        <x:f>C25/994.646775</x:f>
        <x:v>0.016086112580016156</x:v>
      </x:c>
      <x:c r="D27" s="10"/>
      <x:c r="E27" s="10"/>
      <x:c r="F27" s="10"/>
      <x:c r="G27" s="10"/>
      <x:c r="H27" s="10"/>
      <x:c r="I27" s="2"/>
      <x:c r="J27" s="37" t="str">
        <x:v>鱼跃9/16注销生效后股本994,646,775股。原公告见Sources。</x:v>
      </x:c>
      <x:c r="K27" s="37"/>
      <x:c r="L27" s="37"/>
      <x:c r="M27" s="37"/>
      <x:c r="N27" s="37"/>
    </x:row>
    <x:row r="28" ht="25" customHeight="1">
      <x:c r="A28" s="2" t="str">
        <x:v>税率假设</x:v>
      </x:c>
      <x:c r="B28" s="2"/>
      <x:c r="C28" s="14" t="n">
        <x:v>0.2</x:v>
      </x:c>
      <x:c r="D28" s="10"/>
      <x:c r="E28" s="10"/>
      <x:c r="F28" s="10"/>
      <x:c r="G28" s="10"/>
      <x:c r="H28" s="10"/>
      <x:c r="I28" s="2"/>
      <x:c r="J28" s="37"/>
      <x:c r="K28" s="37"/>
      <x:c r="L28" s="37"/>
      <x:c r="M28" s="37"/>
      <x:c r="N28" s="37"/>
    </x:row>
    <x:row r="29" ht="25" customHeight="1">
      <x:c r="A29" s="2"/>
      <x:c r="B29" s="2"/>
      <x:c r="C29" s="10"/>
      <x:c r="D29" s="10"/>
      <x:c r="E29" s="10"/>
      <x:c r="F29" s="10"/>
      <x:c r="G29" s="10"/>
      <x:c r="H29" s="10"/>
      <x:c r="I29" s="2"/>
      <x:c r="J29" s="37"/>
      <x:c r="K29" s="37"/>
      <x:c r="L29" s="37"/>
      <x:c r="M29" s="37"/>
      <x:c r="N29" s="37"/>
    </x:row>
    <x:row r="30" ht="25" customHeight="1">
      <x:c r="A30" s="2" t="str">
        <x:v>经营贡献 百万元</x:v>
      </x:c>
      <x:c r="B30" s="2"/>
      <x:c r="C30" s="10"/>
      <x:c r="D30" s="10" t="n">
        <x:f>C24</x:f>
        <x:v>20</x:v>
      </x:c>
      <x:c r="E30" s="10" t="n">
        <x:v>90</x:v>
      </x:c>
      <x:c r="F30" s="10" t="n">
        <x:v>120</x:v>
      </x:c>
      <x:c r="G30" s="10" t="n">
        <x:v>150</x:v>
      </x:c>
      <x:c r="H30" s="10" t="n">
        <x:v>180</x:v>
      </x:c>
      <x:c r="I30" s="2"/>
      <x:c r="J30" s="37"/>
      <x:c r="K30" s="37"/>
      <x:c r="L30" s="37"/>
      <x:c r="M30" s="37"/>
      <x:c r="N30" s="37"/>
    </x:row>
    <x:row r="31" ht="25" customHeight="1">
      <x:c r="A31" s="2" t="str">
        <x:v>列=厂商净价</x:v>
      </x:c>
      <x:c r="B31" s="2"/>
      <x:c r="C31" s="10"/>
      <x:c r="D31" s="19" t="n">
        <x:v>30</x:v>
      </x:c>
      <x:c r="E31" s="10" t="n">
        <x:f t="dataTable" ref="E31:H34" dt2D="1" r1="C8" r2="C16"/>
        <x:v>-102</x:v>
      </x:c>
      <x:c r="F31" s="10" t="n">
        <x:v>-81</x:v>
      </x:c>
      <x:c r="G31" s="10" t="n">
        <x:v>-60</x:v>
      </x:c>
      <x:c r="H31" s="10" t="n">
        <x:v>-39</x:v>
      </x:c>
      <x:c r="I31" s="2"/>
      <x:c r="J31" s="37"/>
      <x:c r="K31" s="37"/>
      <x:c r="L31" s="37"/>
      <x:c r="M31" s="37"/>
      <x:c r="N31" s="37"/>
    </x:row>
    <x:row r="32" ht="25" customHeight="1">
      <x:c r="A32" s="2" t="str">
        <x:v>行=佩戴天数</x:v>
      </x:c>
      <x:c r="B32" s="2"/>
      <x:c r="C32" s="10"/>
      <x:c r="D32" s="19" t="n">
        <x:v>90</x:v>
      </x:c>
      <x:c r="E32" s="10" t="n">
        <x:v>-106</x:v>
      </x:c>
      <x:c r="F32" s="10" t="n">
        <x:v>-43</x:v>
      </x:c>
      <x:c r="G32" s="10" t="n">
        <x:v>20</x:v>
      </x:c>
      <x:c r="H32" s="10" t="n">
        <x:v>83</x:v>
      </x:c>
      <x:c r="I32" s="2"/>
      <x:c r="J32" s="37"/>
      <x:c r="K32" s="37"/>
      <x:c r="L32" s="37"/>
      <x:c r="M32" s="37"/>
      <x:c r="N32" s="37"/>
    </x:row>
    <x:row r="33" ht="25" customHeight="1">
      <x:c r="A33" s="2"/>
      <x:c r="B33" s="2"/>
      <x:c r="C33" s="10"/>
      <x:c r="D33" s="19" t="n">
        <x:v>180</x:v>
      </x:c>
      <x:c r="E33" s="10" t="n">
        <x:v>-112</x:v>
      </x:c>
      <x:c r="F33" s="10" t="n">
        <x:v>14</x:v>
      </x:c>
      <x:c r="G33" s="10" t="n">
        <x:v>140</x:v>
      </x:c>
      <x:c r="H33" s="10" t="n">
        <x:v>266</x:v>
      </x:c>
      <x:c r="I33" s="2"/>
      <x:c r="J33" s="37"/>
      <x:c r="K33" s="37"/>
      <x:c r="L33" s="37"/>
      <x:c r="M33" s="37"/>
      <x:c r="N33" s="37"/>
    </x:row>
    <x:row r="34" ht="25" customHeight="1">
      <x:c r="A34" s="2"/>
      <x:c r="B34" s="2"/>
      <x:c r="C34" s="10"/>
      <x:c r="D34" s="19" t="n">
        <x:v>365</x:v>
      </x:c>
      <x:c r="E34" s="10" t="n">
        <x:v>-124.3333333333333</x:v>
      </x:c>
      <x:c r="F34" s="10" t="n">
        <x:v>131.1666666666666</x:v>
      </x:c>
      <x:c r="G34" s="10" t="n">
        <x:v>386.6666666666667</x:v>
      </x:c>
      <x:c r="H34" s="10" t="n">
        <x:v>642.1666666666665</x:v>
      </x:c>
      <x:c r="I34" s="2"/>
      <x:c r="J34" s="37"/>
      <x:c r="K34" s="37"/>
      <x:c r="L34" s="37"/>
      <x:c r="M34" s="37"/>
      <x:c r="N34" s="37"/>
    </x:row>
    <x:row r="35" ht="25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37"/>
      <x:c r="K35" s="37"/>
      <x:c r="L35" s="37"/>
      <x:c r="M35" s="37"/>
      <x:c r="N35" s="37"/>
    </x:row>
    <x:row r="36" ht="25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37"/>
      <x:c r="K36" s="37"/>
      <x:c r="L36" s="37"/>
      <x:c r="M36" s="37"/>
      <x:c r="N36" s="37"/>
    </x:row>
    <x:row r="37" ht="25" customHeight="1">
      <x:c r="A37" s="45" t="str">
        <x:v>健耳单店与奥精植体：不能用集团毛利掩盖门店/新品成本</x:v>
      </x:c>
      <x:c r="B37" s="45"/>
      <x:c r="C37" s="46"/>
      <x:c r="D37" s="46"/>
      <x:c r="E37" s="46"/>
      <x:c r="F37" s="46"/>
      <x:c r="G37" s="46"/>
      <x:c r="H37" s="46"/>
      <x:c r="I37" s="2"/>
      <x:c r="J37" s="37"/>
      <x:c r="K37" s="37"/>
      <x:c r="L37" s="37"/>
      <x:c r="M37" s="37"/>
      <x:c r="N37" s="37"/>
    </x:row>
    <x:row r="38" ht="25" customHeight="1">
      <x:c r="A38" s="2"/>
      <x:c r="B38" s="2"/>
      <x:c r="C38" s="10"/>
      <x:c r="D38" s="10"/>
      <x:c r="E38" s="10"/>
      <x:c r="F38" s="10"/>
      <x:c r="G38" s="10"/>
      <x:c r="H38" s="10"/>
      <x:c r="I38" s="2"/>
      <x:c r="J38" s="37"/>
      <x:c r="K38" s="37"/>
      <x:c r="L38" s="37"/>
      <x:c r="M38" s="37"/>
      <x:c r="N38" s="37"/>
    </x:row>
    <x:row r="39" ht="25" customHeight="1">
      <x:c r="A39" s="2" t="str">
        <x:v>成熟健耳店日收入 元(2025)</x:v>
      </x:c>
      <x:c r="B39" s="2"/>
      <x:c r="C39" s="10" t="n">
        <x:v>1309.2</x:v>
      </x:c>
      <x:c r="D39" s="10"/>
      <x:c r="E39" s="10"/>
      <x:c r="F39" s="10"/>
      <x:c r="G39" s="10"/>
      <x:c r="H39" s="10"/>
      <x:c r="I39" s="2"/>
      <x:c r="J39" s="37"/>
      <x:c r="K39" s="37"/>
      <x:c r="L39" s="37"/>
      <x:c r="M39" s="37"/>
      <x:c r="N39" s="37"/>
    </x:row>
    <x:row r="40" ht="25" customHeight="1">
      <x:c r="A40" s="2" t="str">
        <x:v>单店毛利率假设</x:v>
      </x:c>
      <x:c r="B40" s="2"/>
      <x:c r="C40" s="14" t="n">
        <x:v>0.65</x:v>
      </x:c>
      <x:c r="D40" s="10"/>
      <x:c r="E40" s="10"/>
      <x:c r="F40" s="10"/>
      <x:c r="G40" s="10"/>
      <x:c r="H40" s="10"/>
      <x:c r="I40" s="2"/>
      <x:c r="J40" s="37"/>
      <x:c r="K40" s="37"/>
      <x:c r="L40" s="37"/>
      <x:c r="M40" s="37"/>
      <x:c r="N40" s="37"/>
    </x:row>
    <x:row r="41" ht="25" customHeight="1">
      <x:c r="A41" s="2" t="str">
        <x:v>单店年租金/人力等固定成本 万元</x:v>
      </x:c>
      <x:c r="B41" s="2"/>
      <x:c r="C41" s="23" t="n">
        <x:v>35</x:v>
      </x:c>
      <x:c r="D41" s="10"/>
      <x:c r="E41" s="10"/>
      <x:c r="F41" s="10"/>
      <x:c r="G41" s="10"/>
      <x:c r="H41" s="10"/>
      <x:c r="I41" s="2"/>
      <x:c r="J41" s="37"/>
      <x:c r="K41" s="37"/>
      <x:c r="L41" s="37"/>
      <x:c r="M41" s="37"/>
      <x:c r="N41" s="37"/>
    </x:row>
    <x:row r="42" ht="25" customHeight="1">
      <x:c r="A42" s="2" t="str">
        <x:v>单店年经营贡献 万元</x:v>
      </x:c>
      <x:c r="B42" s="2"/>
      <x:c r="C42" s="10" t="n">
        <x:f>C39*365*C40/10000-C41</x:f>
        <x:v>-3.9392299999999985</x:v>
      </x:c>
      <x:c r="D42" s="10"/>
      <x:c r="E42" s="10"/>
      <x:c r="F42" s="10"/>
      <x:c r="G42" s="10"/>
      <x:c r="H42" s="10"/>
      <x:c r="I42" s="2"/>
      <x:c r="J42" s="37"/>
      <x:c r="K42" s="37"/>
      <x:c r="L42" s="37"/>
      <x:c r="M42" s="37"/>
      <x:c r="N42" s="37"/>
    </x:row>
    <x:row r="43" ht="25" customHeight="1">
      <x:c r="A43" s="2" t="str">
        <x:v>单店日收入打平 元</x:v>
      </x:c>
      <x:c r="B43" s="2"/>
      <x:c r="C43" s="10" t="n">
        <x:f>C41*10000/365/C40</x:f>
        <x:v>1475.2370916754478</x:v>
      </x:c>
      <x:c r="D43" s="10"/>
      <x:c r="E43" s="10"/>
      <x:c r="F43" s="10"/>
      <x:c r="G43" s="10"/>
      <x:c r="H43" s="10"/>
      <x:c r="I43" s="2"/>
      <x:c r="J43" s="37"/>
      <x:c r="K43" s="37"/>
      <x:c r="L43" s="37"/>
      <x:c r="M43" s="37"/>
      <x:c r="N43" s="37"/>
    </x:row>
    <x:row r="44" ht="25" customHeight="1">
      <x:c r="A44" s="2" t="str">
        <x:v>奥精植体毛利率 2026H1</x:v>
      </x:c>
      <x:c r="B44" s="2"/>
      <x:c r="C44" s="18" t="n">
        <x:v>0.3190963523</x:v>
      </x:c>
      <x:c r="D44" s="10"/>
      <x:c r="E44" s="10"/>
      <x:c r="F44" s="10"/>
      <x:c r="G44" s="10"/>
      <x:c r="H44" s="10"/>
      <x:c r="I44" s="2"/>
      <x:c r="J44" s="37"/>
      <x:c r="K44" s="37"/>
      <x:c r="L44" s="37"/>
      <x:c r="M44" s="37"/>
      <x:c r="N44" s="37"/>
    </x:row>
    <x:row r="45" ht="23" customHeight="1">
      <x:c r="A45" s="2" t="str">
        <x:v>专属固定费用 万元</x:v>
      </x:c>
      <x:c r="B45" s="2"/>
      <x:c r="C45" s="23" t="n">
        <x:v>500</x:v>
      </x:c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 t="str">
        <x:v>植体收入打平 万元</x:v>
      </x:c>
      <x:c r="B46" s="2"/>
      <x:c r="C46" s="10" t="n">
        <x:f>C45/C44</x:f>
        <x:v>1566.9248375798497</x:v>
      </x:c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3" customHeight="1">
      <x:c r="A47" s="2" t="str">
        <x:v>植体H1收入简单年化 万元</x:v>
      </x:c>
      <x:c r="B47" s="2"/>
      <x:c r="C47" s="10" t="n">
        <x:v>1171.932074</x:v>
      </x:c>
      <x:c r="D47" s="10"/>
      <x:c r="E47" s="10"/>
      <x:c r="F47" s="10"/>
      <x:c r="G47" s="10"/>
      <x:c r="H47" s="10"/>
      <x:c r="I47" s="2"/>
      <x:c r="J47" s="2" t="str">
        <x:v>简单年化仅门槛对照，未推断全年实际或终端植入。</x:v>
      </x:c>
      <x:c r="K47" s="2"/>
      <x:c r="L47" s="2"/>
      <x:c r="M47" s="2"/>
      <x:c r="N47" s="2"/>
    </x:row>
    <x:row r="48" ht="23" customHeight="1">
      <x:c r="A48" s="2"/>
      <x:c r="B48" s="2"/>
      <x:c r="C48" s="10"/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6:H6"/>
    <x:mergeCell ref="A37:H37"/>
    <x:mergeCell ref="J6:N6"/>
    <x:mergeCell ref="J7:N7"/>
    <x:mergeCell ref="J8:N8"/>
    <x:mergeCell ref="J9:N9"/>
    <x:mergeCell ref="J10:N10"/>
    <x:mergeCell ref="J11:N11"/>
    <x:mergeCell ref="J12:N12"/>
    <x:mergeCell ref="J13:N13"/>
    <x:mergeCell ref="J14:N14"/>
    <x:mergeCell ref="J15:N15"/>
    <x:mergeCell ref="J16:N16"/>
    <x:mergeCell ref="J17:N17"/>
    <x:mergeCell ref="J18:N18"/>
    <x:mergeCell ref="J19:N19"/>
    <x:mergeCell ref="J20:N20"/>
    <x:mergeCell ref="J21:N21"/>
    <x:mergeCell ref="J22:N22"/>
    <x:mergeCell ref="J23:N23"/>
    <x:mergeCell ref="J24:N24"/>
    <x:mergeCell ref="J25:N25"/>
    <x:mergeCell ref="J26:N26"/>
    <x:mergeCell ref="J27:N27"/>
    <x:mergeCell ref="J28:N28"/>
    <x:mergeCell ref="J29:N29"/>
    <x:mergeCell ref="J30:N30"/>
    <x:mergeCell ref="J31:N31"/>
    <x:mergeCell ref="J32:N32"/>
    <x:mergeCell ref="J33:N33"/>
    <x:mergeCell ref="J34:N34"/>
    <x:mergeCell ref="J35:N35"/>
    <x:mergeCell ref="J36:N36"/>
    <x:mergeCell ref="J37:N37"/>
    <x:mergeCell ref="J38:N38"/>
    <x:mergeCell ref="J39:N39"/>
    <x:mergeCell ref="J40:N40"/>
    <x:mergeCell ref="J41:N41"/>
    <x:mergeCell ref="J42:N42"/>
    <x:mergeCell ref="J43:N43"/>
    <x:mergeCell ref="J44:N4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9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8" customHeight="1">
      <x:c r="A1" s="4" t="str">
        <x:v>机构容量：股本与成交额区间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统一2026-10-20收盘。20日成交额真值缺失保留空白，另给可验证上下界。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证券</x:v>
      </x:c>
      <x:c r="B5" s="2" t="str">
        <x:v>代码</x:v>
      </x:c>
      <x:c r="C5" s="8" t="str">
        <x:v>收盘 元</x:v>
      </x:c>
      <x:c r="D5" s="9" t="str">
        <x:v>A价×总股本 亿元</x:v>
      </x:c>
      <x:c r="E5" s="9" t="str">
        <x:v>无限售A市值 亿元</x:v>
      </x:c>
      <x:c r="F5" s="9" t="str">
        <x:v>A股本 百万</x:v>
      </x:c>
      <x:c r="G5" s="9" t="str">
        <x:v>H股本 百万</x:v>
      </x:c>
      <x:c r="H5" s="9" t="str">
        <x:v>无限售A 百万</x:v>
      </x:c>
      <x:c r="I5" s="2" t="str">
        <x:v>战略调整A代理 亿元</x:v>
      </x:c>
      <x:c r="J5" s="2" t="str">
        <x:v>精确20日ADTV 百万</x:v>
      </x:c>
      <x:c r="K5" s="2" t="str">
        <x:v>成交额下界 百万</x:v>
      </x:c>
      <x:c r="L5" s="2" t="str">
        <x:v>成交额上界 百万</x:v>
      </x:c>
      <x:c r="M5" s="2" t="str">
        <x:v>1亿/10%参与 天</x:v>
      </x:c>
      <x:c r="N5" s="2" t="str">
        <x:v>说明/来源</x:v>
      </x:c>
      <x:c r="P5" t="str">
        <x:v>H收盘 HKD</x:v>
      </x:c>
      <x:c r="Q5" t="str">
        <x:v>H市值 亿HKD</x:v>
      </x:c>
      <x:c r="R5" t="str">
        <x:v>A类市值 亿元</x:v>
      </x:c>
      <x:c r="S5" t="str">
        <x:v>来源/核实日</x:v>
      </x:c>
    </x:row>
    <x:row r="6" ht="23" customHeight="1">
      <x:c r="A6" s="2" t="str">
        <x:v>爱博医疗</x:v>
      </x:c>
      <x:c r="B6" s="2" t="str">
        <x:v>688050</x:v>
      </x:c>
      <x:c r="C6" s="20" t="n">
        <x:v>41.92</x:v>
      </x:c>
      <x:c r="D6" s="10" t="n">
        <x:v>81.09</x:v>
      </x:c>
      <x:c r="E6" s="10" t="n">
        <x:v>81.09</x:v>
      </x:c>
      <x:c r="F6" s="10" t="n">
        <x:v>193.437735</x:v>
      </x:c>
      <x:c r="G6" s="10" t="n">
        <x:v>0</x:v>
      </x:c>
      <x:c r="H6" s="10" t="n">
        <x:v>193.437735</x:v>
      </x:c>
      <x:c r="I6" s="10" t="n">
        <x:v>63.7919427712</x:v>
      </x:c>
      <x:c r="J6" s="10" t="n">
        <x:v>98.19306390000001</x:v>
      </x:c>
      <x:c r="K6" s="10" t="n">
        <x:v>96.04904583400001</x:v>
      </x:c>
      <x:c r="L6" s="10" t="n">
        <x:v>99.672021158</x:v>
      </x:c>
      <x:c r="M6" s="10" t="n">
        <x:f>100/(K6*10%)</x:f>
        <x:v>10.411347570576428</x:v>
      </x:c>
      <x:c r="N6" s="2" t="str">
        <x:v>代理仅扣H1已核实解江冰/博健和创/博健创智控制与一致行动股，不扣基金；非全量free float。 https://qt.gtimg.cn/q=sh688050</x:v>
      </x:c>
    </x:row>
    <x:row r="7" ht="23" customHeight="1">
      <x:c r="A7" s="2" t="str">
        <x:v>爱尔眼科</x:v>
      </x:c>
      <x:c r="B7" s="2" t="str">
        <x:v>300015</x:v>
      </x:c>
      <x:c r="C7" s="20" t="n">
        <x:v>7.94</x:v>
      </x:c>
      <x:c r="D7" s="10" t="n">
        <x:v>736.91</x:v>
      </x:c>
      <x:c r="E7" s="10" t="n">
        <x:v>630.38</x:v>
      </x:c>
      <x:c r="F7" s="10" t="n">
        <x:v>9281.000213</x:v>
      </x:c>
      <x:c r="G7" s="10" t="n">
        <x:v>0</x:v>
      </x:c>
      <x:c r="H7" s="10" t="n">
        <x:v>7939.327787</x:v>
      </x:c>
      <x:c r="I7" s="10"/>
      <x:c r="J7" s="10"/>
      <x:c r="K7" s="10" t="n">
        <x:v>339.8430596</x:v>
      </x:c>
      <x:c r="L7" s="10" t="n">
        <x:v>345.65780945</x:v>
      </x:c>
      <x:c r="M7" s="10" t="n">
        <x:f>100/(K7*10%)</x:f>
        <x:v>2.9425347134557165</x:v>
      </x:c>
      <x:c r="N7" s="2" t="str">
        <x:v>无限售A不是严格自由流通；战略持仓未完全核实，代理留空。 https://qt.gtimg.cn/q=sz300015</x:v>
      </x:c>
    </x:row>
    <x:row r="8" ht="23" customHeight="1">
      <x:c r="A8" s="2" t="str">
        <x:v>可孚医疗</x:v>
      </x:c>
      <x:c r="B8" s="2" t="str">
        <x:v>301087</x:v>
      </x:c>
      <x:c r="C8" s="20" t="n">
        <x:v>52.49</x:v>
      </x:c>
      <x:c r="D8" s="10" t="n">
        <x:v>123.82</x:v>
      </x:c>
      <x:c r="E8" s="10" t="n">
        <x:v>101.83</x:v>
      </x:c>
      <x:c r="F8" s="10" t="n">
        <x:v>208.897</x:v>
      </x:c>
      <x:c r="G8" s="10" t="n">
        <x:v>27</x:v>
      </x:c>
      <x:c r="H8" s="10" t="n">
        <x:v>193.99127</x:v>
      </x:c>
      <x:c r="I8" s="10" t="n">
        <x:v>41.8330046406</x:v>
      </x:c>
      <x:c r="J8" s="10"/>
      <x:c r="K8" s="10" t="n">
        <x:v>155.13906165</x:v>
      </x:c>
      <x:c r="L8" s="10" t="n">
        <x:v>164.7265969</x:v>
      </x:c>
      <x:c r="M8" s="10" t="n">
        <x:f>100/(K8*10%)</x:f>
        <x:v>6.445829885551586</x:v>
      </x:c>
      <x:c r="N8" s="2" t="str">
        <x:v>A/H分开；总市值列为A价等值。战略调整代理扣已核实控制/家族及库存股，持仓截至H1，非指数free float。 https://qt.gtimg.cn/q=sz301087</x:v>
      </x:c>
      <x:c r="P8" t="n">
        <x:v>28.28</x:v>
      </x:c>
      <x:c r="Q8" s="49" t="n">
        <x:f>P8*G8/100</x:f>
        <x:v>7.6356</x:v>
      </x:c>
      <x:c r="R8" s="49" t="n">
        <x:f>C8*F8/100</x:f>
        <x:v>109.6500353</x:v>
      </x:c>
      <x:c r="S8" t="str">
        <x:v>https://qt.gtimg.cn/q=hk01187 | 2026-10-20</x:v>
      </x:c>
    </x:row>
    <x:row r="9" ht="23" customHeight="1">
      <x:c r="A9" s="2" t="str">
        <x:v>明月镜片</x:v>
      </x:c>
      <x:c r="B9" s="2" t="str">
        <x:v>301101</x:v>
      </x:c>
      <x:c r="C9" s="20" t="n">
        <x:v>30.61</x:v>
      </x:c>
      <x:c r="D9" s="10" t="n">
        <x:v>61.68</x:v>
      </x:c>
      <x:c r="E9" s="10" t="n">
        <x:v>59.41</x:v>
      </x:c>
      <x:c r="F9" s="10" t="n">
        <x:v>201.5121</x:v>
      </x:c>
      <x:c r="G9" s="10" t="n">
        <x:v>0</x:v>
      </x:c>
      <x:c r="H9" s="10" t="n">
        <x:v>194.103143</x:v>
      </x:c>
      <x:c r="I9" s="10" t="n">
        <x:v>23.9247126373</x:v>
      </x:c>
      <x:c r="J9" s="10"/>
      <x:c r="K9" s="10" t="n">
        <x:v>50.12237485</x:v>
      </x:c>
      <x:c r="L9" s="10" t="n">
        <x:v>51.68411195</x:v>
      </x:c>
      <x:c r="M9" s="10" t="n">
        <x:f>100/(K9*10%)</x:f>
        <x:v>19.95116957232524</x:v>
      </x:c>
      <x:c r="N9" s="2" t="str">
        <x:v>扣已核实控制/家族无限售股份；财务股东不自动扣。最新持仓未全量穿透，非严格free float。 https://qt.gtimg.cn/q=sz301101</x:v>
      </x:c>
    </x:row>
    <x:row r="10" ht="23" customHeight="1">
      <x:c r="A10" s="2" t="str">
        <x:v>奥精医疗</x:v>
      </x:c>
      <x:c r="B10" s="2" t="str">
        <x:v>688613</x:v>
      </x:c>
      <x:c r="C10" s="20" t="n">
        <x:v>18.47</x:v>
      </x:c>
      <x:c r="D10" s="10" t="n">
        <x:v>25.31</x:v>
      </x:c>
      <x:c r="E10" s="10" t="n">
        <x:v>25.31</x:v>
      </x:c>
      <x:c r="F10" s="10" t="n">
        <x:v>137.008584</x:v>
      </x:c>
      <x:c r="G10" s="10" t="n">
        <x:v>0</x:v>
      </x:c>
      <x:c r="H10" s="10" t="n">
        <x:v>137.008584</x:v>
      </x:c>
      <x:c r="I10" s="10"/>
      <x:c r="J10" s="10"/>
      <x:c r="K10" s="10" t="n">
        <x:v>133.297263999</x:v>
      </x:c>
      <x:c r="L10" s="10" t="n">
        <x:v>145.332807085</x:v>
      </x:c>
      <x:c r="M10" s="10" t="n">
        <x:f>100/(K10*10%)</x:f>
        <x:v>7.502029449062825</x:v>
      </x:c>
      <x:c r="N10" s="2" t="str">
        <x:v>无限售A不是严格自由流通；战略持仓未完全核实，代理留空。 https://qt.gtimg.cn/q=sh688613</x:v>
      </x:c>
    </x:row>
    <x:row r="11" ht="23" customHeight="1">
      <x:c r="A11" s="2" t="str">
        <x:v>瑞迈特</x:v>
      </x:c>
      <x:c r="B11" s="2" t="str">
        <x:v>301367</x:v>
      </x:c>
      <x:c r="C11" s="20" t="n">
        <x:v>46.15</x:v>
      </x:c>
      <x:c r="D11" s="10" t="n">
        <x:v>57.82</x:v>
      </x:c>
      <x:c r="E11" s="10" t="n">
        <x:v>44.35</x:v>
      </x:c>
      <x:c r="F11" s="10" t="n">
        <x:v>125.284355</x:v>
      </x:c>
      <x:c r="G11" s="10" t="n">
        <x:v>0</x:v>
      </x:c>
      <x:c r="H11" s="10" t="n">
        <x:v>96.094563</x:v>
      </x:c>
      <x:c r="I11" s="10"/>
      <x:c r="J11" s="10"/>
      <x:c r="K11" s="10" t="n">
        <x:v>78.44557015000001</x:v>
      </x:c>
      <x:c r="L11" s="10" t="n">
        <x:v>81.43248990000001</x:v>
      </x:c>
      <x:c r="M11" s="10" t="n">
        <x:f>100/(K11*10%)</x:f>
        <x:v>12.747692420207361</x:v>
      </x:c>
      <x:c r="N11" s="2" t="str">
        <x:v>无限售A不是严格自由流通；战略持仓未完全核实，代理留空。 https://qt.gtimg.cn/q=sz301367</x:v>
      </x:c>
    </x:row>
    <x:row r="12" ht="23" customHeight="1">
      <x:c r="A12" s="2" t="str">
        <x:v>鱼跃医疗</x:v>
      </x:c>
      <x:c r="B12" s="2" t="str">
        <x:v>002223</x:v>
      </x:c>
      <x:c r="C12" s="20" t="n">
        <x:v>25.66</x:v>
      </x:c>
      <x:c r="D12" s="10" t="n">
        <x:v>255.23</x:v>
      </x:c>
      <x:c r="E12" s="10" t="n">
        <x:v>239.78</x:v>
      </x:c>
      <x:c r="F12" s="10" t="n">
        <x:v>994.646775</x:v>
      </x:c>
      <x:c r="G12" s="10" t="n">
        <x:v>0</x:v>
      </x:c>
      <x:c r="H12" s="10" t="n">
        <x:v>934.463165</x:v>
      </x:c>
      <x:c r="I12" s="10"/>
      <x:c r="J12" s="10"/>
      <x:c r="K12" s="10" t="n">
        <x:v>238.48772309999998</x:v>
      </x:c>
      <x:c r="L12" s="10" t="n">
        <x:v>244.58427855000002</x:v>
      </x:c>
      <x:c r="M12" s="10" t="n">
        <x:f>100/(K12*10%)</x:f>
        <x:v>4.193087958580959</x:v>
      </x:c>
      <x:c r="N12" s="2" t="str">
        <x:v>无限售A不是严格自由流通；战略持仓未完全核实，代理留空。 https://qt.gtimg.cn/q=sz002223</x:v>
      </x:c>
    </x:row>
    <x:row r="13" ht="23" customHeight="1">
      <x:c r="A13" s="2" t="str">
        <x:v>三诺生物</x:v>
      </x:c>
      <x:c r="B13" s="2" t="str">
        <x:v>300298</x:v>
      </x:c>
      <x:c r="C13" s="20" t="n">
        <x:v>16.58</x:v>
      </x:c>
      <x:c r="D13" s="10" t="n">
        <x:v>92.33</x:v>
      </x:c>
      <x:c r="E13" s="10" t="n">
        <x:v>74.28</x:v>
      </x:c>
      <x:c r="F13" s="10" t="n">
        <x:v>556.845893</x:v>
      </x:c>
      <x:c r="G13" s="10" t="n">
        <x:v>0</x:v>
      </x:c>
      <x:c r="H13" s="10" t="n">
        <x:v>448.001059</x:v>
      </x:c>
      <x:c r="I13" s="10"/>
      <x:c r="J13" s="10"/>
      <x:c r="K13" s="10" t="n">
        <x:v>71.21854875</x:v>
      </x:c>
      <x:c r="L13" s="10" t="n">
        <x:v>73.26225185</x:v>
      </x:c>
      <x:c r="M13" s="10" t="n">
        <x:f>100/(K13*10%)</x:f>
        <x:v>14.041285838473364</x:v>
      </x:c>
      <x:c r="N13" s="2" t="str">
        <x:v>无限售A不是严格自由流通；战略持仓未完全核实，代理留空。 https://qt.gtimg.cn/q=sz300298</x:v>
      </x:c>
    </x:row>
    <x:row r="14" ht="23" customHeight="1">
      <x:c r="A14" s="2" t="str">
        <x:v>汤臣倍健</x:v>
      </x:c>
      <x:c r="B14" s="2" t="str">
        <x:v>300146</x:v>
      </x:c>
      <x:c r="C14" s="20" t="n">
        <x:v>9.55</x:v>
      </x:c>
      <x:c r="D14" s="10" t="n">
        <x:v>161.56</x:v>
      </x:c>
      <x:c r="E14" s="10" t="n">
        <x:v>107.04</x:v>
      </x:c>
      <x:c r="F14" s="10" t="n">
        <x:v>1691.677031</x:v>
      </x:c>
      <x:c r="G14" s="10" t="n">
        <x:v>0</x:v>
      </x:c>
      <x:c r="H14" s="10" t="n">
        <x:v>1120.818659</x:v>
      </x:c>
      <x:c r="I14" s="10"/>
      <x:c r="J14" s="10"/>
      <x:c r="K14" s="10" t="n">
        <x:v>78.6087712</x:v>
      </x:c>
      <x:c r="L14" s="10" t="n">
        <x:v>79.85145734999999</x:v>
      </x:c>
      <x:c r="M14" s="10" t="n">
        <x:f>100/(K14*10%)</x:f>
        <x:v>12.721226712166184</x:v>
      </x:c>
      <x:c r="N14" s="2" t="str">
        <x:v>无限售A不是严格自由流通；战略持仓未完全核实，代理留空。 https://qt.gtimg.cn/q=sz300146</x:v>
      </x:c>
    </x:row>
    <x:row r="15" ht="23" customHeight="1">
      <x:c r="A15" s="2" t="str">
        <x:v>通策医疗</x:v>
      </x:c>
      <x:c r="B15" s="2" t="str">
        <x:v>600763</x:v>
      </x:c>
      <x:c r="C15" s="20" t="n">
        <x:v>33</x:v>
      </x:c>
      <x:c r="D15" s="10" t="n">
        <x:v>146.67</x:v>
      </x:c>
      <x:c r="E15" s="10" t="n">
        <x:v>146.67</x:v>
      </x:c>
      <x:c r="F15" s="10" t="n">
        <x:v>444.455953</x:v>
      </x:c>
      <x:c r="G15" s="10" t="n">
        <x:v>0</x:v>
      </x:c>
      <x:c r="H15" s="10" t="n">
        <x:v>444.455953</x:v>
      </x:c>
      <x:c r="I15" s="10"/>
      <x:c r="J15" s="10"/>
      <x:c r="K15" s="10" t="n">
        <x:v>173.8016826</x:v>
      </x:c>
      <x:c r="L15" s="10" t="n">
        <x:v>178.1701377</x:v>
      </x:c>
      <x:c r="M15" s="10" t="n">
        <x:f>100/(K15*10%)</x:f>
        <x:v>5.7536842281410685</x:v>
      </x:c>
      <x:c r="N15" s="2" t="str">
        <x:v>无限售A不是严格自由流通；战略持仓未完全核实，代理留空。 https://qt.gtimg.cn/q=sh600763</x:v>
      </x:c>
    </x:row>
    <x:row r="16" ht="23" customHeight="1">
      <x:c r="A16" s="2" t="str">
        <x:v>昊海生科</x:v>
      </x:c>
      <x:c r="B16" s="2" t="str">
        <x:v>688366</x:v>
      </x:c>
      <x:c r="C16" s="20" t="n">
        <x:v>30.2</x:v>
      </x:c>
      <x:c r="D16" s="10" t="n">
        <x:v>69.11</x:v>
      </x:c>
      <x:c r="E16" s="10" t="n">
        <x:v>58.6</x:v>
      </x:c>
      <x:c r="F16" s="10" t="n">
        <x:v>194.051855</x:v>
      </x:c>
      <x:c r="G16" s="10" t="n">
        <x:v>34.78034</x:v>
      </x:c>
      <x:c r="H16" s="10" t="n">
        <x:v>194.051855</x:v>
      </x:c>
      <x:c r="I16" s="10"/>
      <x:c r="J16" s="10"/>
      <x:c r="K16" s="10" t="n">
        <x:v>12.009827138499999</x:v>
      </x:c>
      <x:c r="L16" s="10" t="n">
        <x:v>12.316221701</x:v>
      </x:c>
      <x:c r="M16" s="10" t="n">
        <x:f>100/(K16*10%)</x:f>
        <x:v>83.26514515719313</x:v>
      </x:c>
      <x:c r="N16" s="2" t="str">
        <x:v>A/H公司：A价×总股本不等于A+H实际市值；H股价格及股本另列P:R。 https://qt.gtimg.cn/q=sh688366</x:v>
      </x:c>
      <x:c r="P16" t="n">
        <x:v>15.59</x:v>
      </x:c>
      <x:c r="Q16" s="49" t="n">
        <x:f>P16*G16/100</x:f>
        <x:v>5.422255006</x:v>
      </x:c>
      <x:c r="R16" s="49" t="n">
        <x:f>C16*F16/100</x:f>
        <x:v>58.60366021</x:v>
      </x:c>
      <x:c r="S16" t="str">
        <x:v>https://qt.gtimg.cn/q=hk06826 | 2026-10-20</x:v>
      </x:c>
    </x:row>
    <x:row r="17" ht="23" customHeight="1">
      <x:c r="A17" s="2" t="str">
        <x:v>欧普康视</x:v>
      </x:c>
      <x:c r="B17" s="2" t="str">
        <x:v>300595</x:v>
      </x:c>
      <x:c r="C17" s="20" t="n">
        <x:v>10.09</x:v>
      </x:c>
      <x:c r="D17" s="10" t="n">
        <x:v>90.24</x:v>
      </x:c>
      <x:c r="E17" s="10" t="n">
        <x:v>67.45</x:v>
      </x:c>
      <x:c r="F17" s="10" t="n">
        <x:v>894.356608</x:v>
      </x:c>
      <x:c r="G17" s="10" t="n">
        <x:v>0</x:v>
      </x:c>
      <x:c r="H17" s="10" t="n">
        <x:v>668.49476</x:v>
      </x:c>
      <x:c r="I17" s="10"/>
      <x:c r="J17" s="10"/>
      <x:c r="K17" s="10" t="n">
        <x:v>60.85514325</x:v>
      </x:c>
      <x:c r="L17" s="10" t="n">
        <x:v>62.2292841</x:v>
      </x:c>
      <x:c r="M17" s="10" t="n">
        <x:f>100/(K17*10%)</x:f>
        <x:v>16.432464810605797</x:v>
      </x:c>
      <x:c r="N17" s="2" t="str">
        <x:v>无限售A不是严格自由流通；战略持仓未完全核实，代理留空。 https://qt.gtimg.cn/q=sz300595</x:v>
      </x:c>
    </x:row>
    <x:row r="18" ht="23" customHeight="1">
      <x:c r="A18" s="2" t="str">
        <x:v>美好医疗</x:v>
      </x:c>
      <x:c r="B18" s="2" t="str">
        <x:v>301363</x:v>
      </x:c>
      <x:c r="C18" s="20" t="n">
        <x:v>15.84</x:v>
      </x:c>
      <x:c r="D18" s="10" t="n">
        <x:v>126.08</x:v>
      </x:c>
      <x:c r="E18" s="10" t="n">
        <x:v>82.69</x:v>
      </x:c>
      <x:c r="F18" s="10" t="n">
        <x:v>795.966832</x:v>
      </x:c>
      <x:c r="G18" s="10" t="n">
        <x:v>0</x:v>
      </x:c>
      <x:c r="H18" s="10" t="n">
        <x:v>522.030341</x:v>
      </x:c>
      <x:c r="I18" s="10"/>
      <x:c r="J18" s="10"/>
      <x:c r="K18" s="10" t="n">
        <x:v>180.93687540000002</x:v>
      </x:c>
      <x:c r="L18" s="10" t="n">
        <x:v>191.5070674</x:v>
      </x:c>
      <x:c r="M18" s="10" t="n">
        <x:f>100/(K18*10%)</x:f>
        <x:v>5.526789372201129</x:v>
      </x:c>
      <x:c r="N18" s="2" t="str">
        <x:v>无限售A不是严格自由流通；战略持仓未完全核实，代理留空。 https://qt.gtimg.cn/q=sz301363</x:v>
      </x:c>
    </x:row>
    <x:row r="19" ht="23" customHeight="1">
      <x:c r="A19" s="2" t="str">
        <x:v>博士眼镜</x:v>
      </x:c>
      <x:c r="B19" s="2" t="str">
        <x:v>300622</x:v>
      </x:c>
      <x:c r="C19" s="20" t="n">
        <x:v>14.65</x:v>
      </x:c>
      <x:c r="D19" s="10" t="n">
        <x:v>46.73</x:v>
      </x:c>
      <x:c r="E19" s="10" t="n">
        <x:v>32.35</x:v>
      </x:c>
      <x:c r="F19" s="10" t="n">
        <x:v>318.99606</x:v>
      </x:c>
      <x:c r="G19" s="10" t="n">
        <x:v>0</x:v>
      </x:c>
      <x:c r="H19" s="10" t="n">
        <x:v>220.796989</x:v>
      </x:c>
      <x:c r="I19" s="10"/>
      <x:c r="J19" s="10"/>
      <x:c r="K19" s="10" t="n">
        <x:v>103.46508045</x:v>
      </x:c>
      <x:c r="L19" s="10" t="n">
        <x:v>107.77790045</x:v>
      </x:c>
      <x:c r="M19" s="10" t="n">
        <x:f>100/(K19*10%)</x:f>
        <x:v>9.665096626327516</x:v>
      </x:c>
      <x:c r="N19" s="2" t="str">
        <x:v>无限售A不是严格自由流通；战略持仓未完全核实，代理留空。 https://qt.gtimg.cn/q=sz300622</x:v>
      </x:c>
    </x:row>
    <x:row r="20" ht="23" customHeight="1">
      <x:c r="A20" s="2" t="str">
        <x:v>三星电气</x:v>
      </x:c>
      <x:c r="B20" s="2" t="str">
        <x:v>601567</x:v>
      </x:c>
      <x:c r="C20" s="20" t="n">
        <x:v>12.55</x:v>
      </x:c>
      <x:c r="D20" s="10" t="n">
        <x:v>176.35</x:v>
      </x:c>
      <x:c r="E20" s="10" t="n">
        <x:v>176.35</x:v>
      </x:c>
      <x:c r="F20" s="10" t="n">
        <x:v>1405.2094</x:v>
      </x:c>
      <x:c r="G20" s="10" t="n">
        <x:v>0</x:v>
      </x:c>
      <x:c r="H20" s="10" t="n">
        <x:v>1405.2094</x:v>
      </x:c>
      <x:c r="I20" s="10"/>
      <x:c r="J20" s="10"/>
      <x:c r="K20" s="10" t="n">
        <x:v>321.35542</x:v>
      </x:c>
      <x:c r="L20" s="10" t="n">
        <x:v>335.1266883</x:v>
      </x:c>
      <x:c r="M20" s="10" t="n">
        <x:f>100/(K20*10%)</x:f>
        <x:v>3.1118193058638934</x:v>
      </x:c>
      <x:c r="N20" s="2" t="str">
        <x:v>无限售A不是严格自由流通；战略持仓未完全核实，代理留空。 https://qt.gtimg.cn/q=sh601567</x:v>
      </x:c>
    </x:row>
    <x:row r="21" ht="23" customHeight="1">
      <x:c r="A21" s="2"/>
      <x:c r="B21" s="2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  <x:c r="M23" s="2"/>
      <x:c r="N23" s="2"/>
    </x:row>
    <x:row r="24" ht="23" customHeight="1">
      <x:c r="A24" s="2" t="str">
        <x:v>成交区间方法</x:v>
      </x:c>
      <x:c r="B24" s="2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  <x:c r="M24" s="2"/>
      <x:c r="N24" s="2"/>
    </x:row>
    <x:row r="25" ht="23" customHeight="1">
      <x:c r="A25" s="47" t="str">
        <x:v>用未复权历史低价×成交股数和高价×股数，逐日取20日均值，得到真实成交额均值的上下界。非“收盘价×成交量”的伪精确ADTV；最后一日以精确金额核验股/手单位。区间为流动性估算，不保证实际成交。</x:v>
      </x:c>
      <x:c r="B25" s="47"/>
      <x:c r="C25" s="48"/>
      <x:c r="D25" s="48"/>
      <x:c r="E25" s="48"/>
      <x:c r="F25" s="48"/>
      <x:c r="G25" s="48"/>
      <x:c r="H25" s="48"/>
      <x:c r="I25" s="2"/>
      <x:c r="J25" s="2"/>
      <x:c r="K25" s="2"/>
      <x:c r="L25" s="2"/>
      <x:c r="M25" s="2"/>
      <x:c r="N25" s="2"/>
    </x:row>
    <x:row r="26" ht="23" customHeight="1">
      <x:c r="A26" s="47"/>
      <x:c r="B26" s="47"/>
      <x:c r="C26" s="48"/>
      <x:c r="D26" s="48"/>
      <x:c r="E26" s="48"/>
      <x:c r="F26" s="48"/>
      <x:c r="G26" s="48"/>
      <x:c r="H26" s="48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  <x:c r="M27" s="2"/>
      <x:c r="N27" s="2"/>
    </x:row>
    <x:row r="28" ht="23" customHeight="1">
      <x:c r="A28" s="2" t="str">
        <x:v>窗口</x:v>
      </x:c>
      <x:c r="B28" s="2"/>
      <x:c r="C28" s="10" t="str">
        <x:v>2026-09-15 至 2026-10-20，20个交易日</x:v>
      </x:c>
      <x:c r="D28" s="10"/>
      <x:c r="E28" s="10"/>
      <x:c r="F28" s="10"/>
      <x:c r="G28" s="10"/>
      <x:c r="H28" s="10"/>
      <x:c r="I28" s="2"/>
      <x:c r="J28" s="2"/>
      <x:c r="K28" s="2"/>
      <x:c r="L28" s="2"/>
      <x:c r="M28" s="2"/>
      <x:c r="N28" s="2"/>
    </x:row>
    <x:row r="29" ht="23" customHeight="1">
      <x:c r="A29" s="2" t="str">
        <x:v>金额历史来源</x:v>
      </x:c>
      <x:c r="B29" s="2"/>
      <x:c r="C29" s="10" t="str">
        <x:v>https://push2his.eastmoney.com/api/qt/stock/kline/get?secid=1.688050&amp;klt=101&amp;fqt=0&amp;beg=20260801&amp;end=20261020&amp;fields1=f1%2Cf2%2Cf3%2Cf4%2Cf5%2Cf6&amp;fields2=f51%2Cf52%2Cf53%2Cf54%2Cf55%2Cf56%2Cf57%2Cf58%2Cf59%2Cf60%2Cf61</x:v>
      </x:c>
      <x:c r="D29" s="10"/>
      <x:c r="E29" s="10"/>
      <x:c r="F29" s="10"/>
      <x:c r="G29" s="10"/>
      <x:c r="H29" s="10"/>
      <x:c r="I29" s="2"/>
      <x:c r="J29" s="2"/>
      <x:c r="K29" s="2"/>
      <x:c r="L29" s="2"/>
      <x:c r="M29" s="2"/>
      <x:c r="N29" s="2"/>
    </x:row>
    <x:row r="30" ht="23" customHeight="1">
      <x:c r="A30" s="2" t="str">
        <x:v>未复权OHLC来源示例</x:v>
      </x:c>
      <x:c r="B30" s="2"/>
      <x:c r="C30" s="10" t="str">
        <x:v>https://web.ifzq.gtimg.cn/appstock/app/kline/kline?param=sz300015%2Cday%2C2026-08-01%2C2026-10-20%2C100</x:v>
      </x:c>
      <x:c r="D30" s="10"/>
      <x:c r="E30" s="10"/>
      <x:c r="F30" s="10"/>
      <x:c r="G30" s="10"/>
      <x:c r="H30" s="10"/>
      <x:c r="I30" s="2"/>
      <x:c r="J30" s="2"/>
      <x:c r="K30" s="2"/>
      <x:c r="L30" s="2"/>
      <x:c r="M30" s="2"/>
      <x:c r="N30" s="2"/>
    </x:row>
    <x:row r="31" ht="23" customHeight="1">
      <x:c r="A31" s="2"/>
      <x:c r="B31" s="2"/>
      <x:c r="C31" s="10"/>
      <x:c r="D31" s="10"/>
      <x:c r="E31" s="10"/>
      <x:c r="F31" s="10"/>
      <x:c r="G31" s="10"/>
      <x:c r="H31" s="10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10"/>
      <x:c r="D32" s="10"/>
      <x:c r="E32" s="10"/>
      <x:c r="F32" s="10"/>
      <x:c r="G32" s="10"/>
      <x:c r="H32" s="10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10"/>
      <x:c r="D33" s="10"/>
      <x:c r="E33" s="10"/>
      <x:c r="F33" s="10"/>
      <x:c r="G33" s="10"/>
      <x:c r="H33" s="10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10"/>
      <x:c r="D34" s="10"/>
      <x:c r="E34" s="10"/>
      <x:c r="F34" s="10"/>
      <x:c r="G34" s="10"/>
      <x:c r="H34" s="10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10"/>
      <x:c r="D37" s="10"/>
      <x:c r="E37" s="10"/>
      <x:c r="F37" s="10"/>
      <x:c r="G37" s="10"/>
      <x:c r="H37" s="10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10"/>
      <x:c r="D38" s="10"/>
      <x:c r="E38" s="10"/>
      <x:c r="F38" s="10"/>
      <x:c r="G38" s="10"/>
      <x:c r="H38" s="10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10"/>
      <x:c r="D39" s="10"/>
      <x:c r="E39" s="10"/>
      <x:c r="F39" s="10"/>
      <x:c r="G39" s="10"/>
      <x:c r="H39" s="10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10"/>
      <x:c r="D40" s="10"/>
      <x:c r="E40" s="10"/>
      <x:c r="F40" s="10"/>
      <x:c r="G40" s="10"/>
      <x:c r="H40" s="10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10"/>
      <x:c r="D41" s="10"/>
      <x:c r="E41" s="10"/>
      <x:c r="F41" s="10"/>
      <x:c r="G41" s="10"/>
      <x:c r="H41" s="10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10"/>
      <x:c r="D42" s="10"/>
      <x:c r="E42" s="10"/>
      <x:c r="F42" s="10"/>
      <x:c r="G42" s="10"/>
      <x:c r="H42" s="10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10"/>
      <x:c r="D43" s="10"/>
      <x:c r="E43" s="10"/>
      <x:c r="F43" s="10"/>
      <x:c r="G43" s="10"/>
      <x:c r="H43" s="10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10"/>
      <x:c r="D44" s="10"/>
      <x:c r="E44" s="10"/>
      <x:c r="F44" s="10"/>
      <x:c r="G44" s="10"/>
      <x:c r="H44" s="10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10"/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10"/>
      <x:c r="D47" s="10"/>
      <x:c r="E47" s="10"/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10"/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  <x:mergeCell ref="A25:H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21" hidden="0" customWidth="1"/>
    <x:col min="11" max="11" width="18" hidden="0" customWidth="1"/>
    <x:col min="12" max="12" width="25" hidden="0" customWidth="1"/>
    <x:col min="13" max="13" width="70" hidden="0" customWidth="1"/>
    <x:col min="14" max="14" width="19" hidden="0" customWidth="1"/>
  </x:cols>
  <x:sheetData>
    <x:row r="1" ht="38" customHeight="1">
      <x:c r="A1" s="4" t="str">
        <x:v>已披露历史锚点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代码</x:v>
      </x:c>
      <x:c r="B5" s="2" t="str">
        <x:v>报告期</x:v>
      </x:c>
      <x:c r="C5" s="8" t="str">
        <x:v>集团收入</x:v>
      </x:c>
      <x:c r="D5" s="9" t="str">
        <x:v>归母</x:v>
      </x:c>
      <x:c r="E5" s="9" t="str">
        <x:v>扣非归母</x:v>
      </x:c>
      <x:c r="F5" s="9" t="str">
        <x:v>期末股本 百万</x:v>
      </x:c>
      <x:c r="G5" s="9" t="str">
        <x:v>分项收入</x:v>
      </x:c>
      <x:c r="H5" s="9" t="str">
        <x:v>分项成本</x:v>
      </x:c>
      <x:c r="I5" s="2" t="str">
        <x:v>出货实物数量</x:v>
      </x:c>
      <x:c r="J5" s="2" t="str">
        <x:v>厂商混合单价 元</x:v>
      </x:c>
      <x:c r="K5" s="2" t="str">
        <x:v>分项毛利率</x:v>
      </x:c>
      <x:c r="L5" s="2" t="str">
        <x:v>来源ID</x:v>
      </x:c>
      <x:c r="M5" s="2" t="str">
        <x:v>口径</x:v>
      </x:c>
      <x:c r="N5" s="2"/>
    </x:row>
    <x:row r="6" ht="23" customHeight="1">
      <x:c r="A6" s="2" t="str">
        <x:v>688050</x:v>
      </x:c>
      <x:c r="B6" s="2" t="str">
        <x:v>2023A</x:v>
      </x:c>
      <x:c r="C6" s="10" t="n">
        <x:v>951.17710086</x:v>
      </x:c>
      <x:c r="D6" s="10" t="n">
        <x:v>303.97830942</x:v>
      </x:c>
      <x:c r="E6" s="10" t="n">
        <x:v>288.78574929</x:v>
      </x:c>
      <x:c r="F6" s="10" t="n">
        <x:v>105.250992</x:v>
      </x:c>
      <x:c r="G6" s="10" t="n">
        <x:v>499.50219914999997</x:v>
      </x:c>
      <x:c r="H6" s="10" t="n">
        <x:v>56.92188889</x:v>
      </x:c>
      <x:c r="I6" s="19" t="n">
        <x:v>1199542</x:v>
      </x:c>
      <x:c r="J6" s="20" t="n">
        <x:v>416.41076273277633</x:v>
      </x:c>
      <x:c r="K6" s="18" t="n">
        <x:v>0.8860427662043057</x:v>
      </x:c>
      <x:c r="L6" s="2" t="str">
        <x:v>I_aibo2024</x:v>
      </x:c>
      <x:c r="M6" s="2" t="str">
        <x:v>厂家出货；混合单价=分产品收入/销量；非终端植入</x:v>
      </x:c>
      <x:c r="N6" s="2"/>
    </x:row>
    <x:row r="7" ht="23" customHeight="1">
      <x:c r="A7" s="2" t="str">
        <x:v>688050</x:v>
      </x:c>
      <x:c r="B7" s="2" t="str">
        <x:v>2024A</x:v>
      </x:c>
      <x:c r="C7" s="10" t="n">
        <x:v>1410.02245811</x:v>
      </x:c>
      <x:c r="D7" s="10" t="n">
        <x:v>388.40294975</x:v>
      </x:c>
      <x:c r="E7" s="10" t="n">
        <x:v>390.07768226</x:v>
      </x:c>
      <x:c r="F7" s="10" t="n">
        <x:v>189.544528</x:v>
      </x:c>
      <x:c r="G7" s="10" t="n">
        <x:v>587.70631644</x:v>
      </x:c>
      <x:c r="H7" s="10" t="n">
        <x:v>63.709758439999995</x:v>
      </x:c>
      <x:c r="I7" s="19" t="n">
        <x:v>1738454</x:v>
      </x:c>
      <x:c r="J7" s="20" t="n">
        <x:v>338.0626214095973</x:v>
      </x:c>
      <x:c r="K7" s="18" t="n">
        <x:v>0.8915959269828535</x:v>
      </x:c>
      <x:c r="L7" s="2" t="str">
        <x:v>I_aibo2024</x:v>
      </x:c>
      <x:c r="M7" s="2" t="str">
        <x:v>厂家出货；混合单价=分产品收入/销量；非终端植入</x:v>
      </x:c>
      <x:c r="N7" s="2"/>
    </x:row>
    <x:row r="8" ht="23" customHeight="1">
      <x:c r="A8" s="2" t="str">
        <x:v>688050</x:v>
      </x:c>
      <x:c r="B8" s="2" t="str">
        <x:v>2025A</x:v>
      </x:c>
      <x:c r="C8" s="10" t="n">
        <x:v>1482.70274133</x:v>
      </x:c>
      <x:c r="D8" s="10" t="n">
        <x:v>268.17011264</x:v>
      </x:c>
      <x:c r="E8" s="10" t="n">
        <x:v>255.23014103</x:v>
      </x:c>
      <x:c r="F8" s="10" t="n">
        <x:v>193.403175</x:v>
      </x:c>
      <x:c r="G8" s="10" t="n">
        <x:v>596.1085727999999</x:v>
      </x:c>
      <x:c r="H8" s="10" t="n">
        <x:v>82.8327262</x:v>
      </x:c>
      <x:c r="I8" s="19" t="n">
        <x:v>1603929</x:v>
      </x:c>
      <x:c r="J8" s="20" t="n">
        <x:v>371.65521216961594</x:v>
      </x:c>
      <x:c r="K8" s="18" t="n">
        <x:v>0.8610442292233379</x:v>
      </x:c>
      <x:c r="L8" s="2" t="str">
        <x:v>I_aibo2025</x:v>
      </x:c>
      <x:c r="M8" s="2" t="str">
        <x:v>厂家出货；混合单价=分产品收入/销量；非终端植入</x:v>
      </x:c>
      <x:c r="N8" s="2"/>
    </x:row>
    <x:row r="9" ht="23" customHeight="1">
      <x:c r="A9" s="2" t="str">
        <x:v>688050</x:v>
      </x:c>
      <x:c r="B9" s="2" t="str">
        <x:v>2025H1</x:v>
      </x:c>
      <x:c r="C9" s="10" t="n">
        <x:v>786.6910597899999</x:v>
      </x:c>
      <x:c r="D9" s="10" t="n">
        <x:v>213.30911387999998</x:v>
      </x:c>
      <x:c r="E9" s="10" t="n">
        <x:v>204.27106812</x:v>
      </x:c>
      <x:c r="F9" s="10" t="n">
        <x:v>193.403175</x:v>
      </x:c>
      <x:c r="G9" s="10" t="n">
        <x:v>345.03434465</x:v>
      </x:c>
      <x:c r="H9" s="10" t="n">
        <x:v>46.84249608</x:v>
      </x:c>
      <x:c r="I9" s="19"/>
      <x:c r="J9" s="20"/>
      <x:c r="K9" s="18" t="n">
        <x:v>0.8642381640948913</x:v>
      </x:c>
      <x:c r="L9" s="2" t="str">
        <x:v>I_aibo2025H1</x:v>
      </x:c>
      <x:c r="M9" s="2" t="str">
        <x:v>厂家出货；混合单价=分产品收入/销量；非终端植入</x:v>
      </x:c>
      <x:c r="N9" s="2"/>
    </x:row>
    <x:row r="10" ht="23" customHeight="1">
      <x:c r="A10" s="2" t="str">
        <x:v>688050</x:v>
      </x:c>
      <x:c r="B10" s="2" t="str">
        <x:v>2026H1</x:v>
      </x:c>
      <x:c r="C10" s="10" t="n">
        <x:v>932.76677439</x:v>
      </x:c>
      <x:c r="D10" s="10" t="n">
        <x:v>182.60352678</x:v>
      </x:c>
      <x:c r="E10" s="10" t="n">
        <x:v>176.74616953</x:v>
      </x:c>
      <x:c r="F10" s="10" t="n">
        <x:v>193.437735</x:v>
      </x:c>
      <x:c r="G10" s="10" t="n">
        <x:v>305.94562407</x:v>
      </x:c>
      <x:c r="H10" s="10" t="n">
        <x:v>43.58045611</x:v>
      </x:c>
      <x:c r="I10" s="19"/>
      <x:c r="J10" s="20"/>
      <x:c r="K10" s="18" t="n">
        <x:v>0.8575548964216306</x:v>
      </x:c>
      <x:c r="L10" s="2" t="str">
        <x:v>I_aibo2026H1</x:v>
      </x:c>
      <x:c r="M10" s="2" t="str">
        <x:v>厂家出货；混合单价=分产品收入/销量；非终端植入</x:v>
      </x:c>
      <x:c r="N10" s="2"/>
    </x:row>
    <x:row r="11" ht="23" customHeight="1">
      <x:c r="A11" s="2" t="str">
        <x:v>300015</x:v>
      </x:c>
      <x:c r="B11" s="2" t="str">
        <x:v>2023A</x:v>
      </x:c>
      <x:c r="C11" s="10" t="n">
        <x:v>20367.15673896</x:v>
      </x:c>
      <x:c r="D11" s="10" t="n">
        <x:v>3358.87153571</x:v>
      </x:c>
      <x:c r="E11" s="10" t="n">
        <x:v>3513.77401928</x:v>
      </x:c>
      <x:c r="F11" s="10" t="n">
        <x:v>9328.411413</x:v>
      </x:c>
      <x:c r="G11" s="10" t="n">
        <x:v>3326.96572299</x:v>
      </x:c>
      <x:c r="H11" s="10" t="n">
        <x:v>2063.67149845</x:v>
      </x:c>
      <x:c r="I11" s="19"/>
      <x:c r="J11" s="20"/>
      <x:c r="K11" s="18" t="n">
        <x:v>0.3797136278893358</x:v>
      </x:c>
      <x:c r="L11" s="2" t="str">
        <x:v>I_aier2023</x:v>
      </x:c>
      <x:c r="M11" s="2" t="str">
        <x:v>医院确认收入；白内障手术眼数/OOP均未单列</x:v>
      </x:c>
      <x:c r="N11" s="2"/>
    </x:row>
    <x:row r="12" ht="23" customHeight="1">
      <x:c r="A12" s="2" t="str">
        <x:v>300015</x:v>
      </x:c>
      <x:c r="B12" s="2" t="str">
        <x:v>2024A</x:v>
      </x:c>
      <x:c r="C12" s="10" t="n">
        <x:v>20982.8941485</x:v>
      </x:c>
      <x:c r="D12" s="10" t="n">
        <x:v>3556.0558317</x:v>
      </x:c>
      <x:c r="E12" s="10" t="n">
        <x:v>3098.54670748</x:v>
      </x:c>
      <x:c r="F12" s="10" t="n">
        <x:v>9327.014495</x:v>
      </x:c>
      <x:c r="G12" s="10" t="n">
        <x:v>3489.0144749</x:v>
      </x:c>
      <x:c r="H12" s="10" t="n">
        <x:v>2277.41787535</x:v>
      </x:c>
      <x:c r="I12" s="19"/>
      <x:c r="J12" s="20"/>
      <x:c r="K12" s="18" t="n">
        <x:v>0.3472604107166183</x:v>
      </x:c>
      <x:c r="L12" s="2" t="str">
        <x:v>I_aier2024</x:v>
      </x:c>
      <x:c r="M12" s="2" t="str">
        <x:v>医院确认收入；白内障手术眼数/OOP均未单列</x:v>
      </x:c>
      <x:c r="N12" s="2"/>
    </x:row>
    <x:row r="13" ht="23" customHeight="1">
      <x:c r="A13" s="2" t="str">
        <x:v>300015</x:v>
      </x:c>
      <x:c r="B13" s="2" t="str">
        <x:v>2025A</x:v>
      </x:c>
      <x:c r="C13" s="10" t="n">
        <x:v>22352.604724869998</x:v>
      </x:c>
      <x:c r="D13" s="10" t="n">
        <x:v>3240.25946509</x:v>
      </x:c>
      <x:c r="E13" s="10" t="n">
        <x:v>3140.71284549</x:v>
      </x:c>
      <x:c r="F13" s="10" t="n">
        <x:v>9325.39667</x:v>
      </x:c>
      <x:c r="G13" s="10" t="n">
        <x:v>3478.2667751</x:v>
      </x:c>
      <x:c r="H13" s="10" t="n">
        <x:v>2313.58899631</x:v>
      </x:c>
      <x:c r="I13" s="19"/>
      <x:c r="J13" s="20"/>
      <x:c r="K13" s="18" t="n">
        <x:v>0.3348442928896722</x:v>
      </x:c>
      <x:c r="L13" s="2" t="str">
        <x:v>I_aier2025</x:v>
      </x:c>
      <x:c r="M13" s="2" t="str">
        <x:v>医院确认收入；白内障手术眼数/OOP均未单列</x:v>
      </x:c>
      <x:c r="N13" s="2"/>
    </x:row>
    <x:row r="14" ht="23" customHeight="1">
      <x:c r="A14" s="2" t="str">
        <x:v>300015</x:v>
      </x:c>
      <x:c r="B14" s="2" t="str">
        <x:v>2025H1</x:v>
      </x:c>
      <x:c r="C14" s="10" t="n">
        <x:v>11507.127175610001</x:v>
      </x:c>
      <x:c r="D14" s="10" t="n">
        <x:v>2050.95659532</x:v>
      </x:c>
      <x:c r="E14" s="10" t="n">
        <x:v>2039.90566309</x:v>
      </x:c>
      <x:c r="F14" s="10" t="n">
        <x:v>9325.39667</x:v>
      </x:c>
      <x:c r="G14" s="10" t="n">
        <x:v>1781.07938542</x:v>
      </x:c>
      <x:c r="H14" s="10" t="n">
        <x:v>1133.81444276</x:v>
      </x:c>
      <x:c r="I14" s="19"/>
      <x:c r="J14" s="20"/>
      <x:c r="K14" s="18" t="n">
        <x:v>0.363411618796187</x:v>
      </x:c>
      <x:c r="L14" s="2" t="str">
        <x:v>I_aier2025H1</x:v>
      </x:c>
      <x:c r="M14" s="2" t="str">
        <x:v>医院确认收入；白内障手术眼数/OOP均未单列</x:v>
      </x:c>
      <x:c r="N14" s="2"/>
    </x:row>
    <x:row r="15" ht="23" customHeight="1">
      <x:c r="A15" s="2" t="str">
        <x:v>300015</x:v>
      </x:c>
      <x:c r="B15" s="2" t="str">
        <x:v>2026H1</x:v>
      </x:c>
      <x:c r="C15" s="10" t="n">
        <x:v>11945.704579950001</x:v>
      </x:c>
      <x:c r="D15" s="10" t="n">
        <x:v>1357.02644897</x:v>
      </x:c>
      <x:c r="E15" s="10" t="n">
        <x:v>1514.56350748</x:v>
      </x:c>
      <x:c r="F15" s="10" t="n">
        <x:v>9325.39667</x:v>
      </x:c>
      <x:c r="G15" s="10" t="n">
        <x:v>1785.45807457</x:v>
      </x:c>
      <x:c r="H15" s="10" t="n">
        <x:v>1167.8315317899999</x:v>
      </x:c>
      <x:c r="I15" s="19"/>
      <x:c r="J15" s="20"/>
      <x:c r="K15" s="18" t="n">
        <x:v>0.3459204960210257</x:v>
      </x:c>
      <x:c r="L15" s="2" t="str">
        <x:v>I_aier2026H1</x:v>
      </x:c>
      <x:c r="M15" s="2" t="str">
        <x:v>医院确认收入；白内障手术眼数/OOP均未单列</x:v>
      </x:c>
      <x:c r="N15" s="2"/>
    </x:row>
    <x:row r="16" ht="23" customHeight="1">
      <x:c r="A16" s="2" t="str">
        <x:v>301087</x:v>
      </x:c>
      <x:c r="B16" s="2" t="str">
        <x:v>2023A</x:v>
      </x:c>
      <x:c r="C16" s="10" t="n">
        <x:v>2853.69493962</x:v>
      </x:c>
      <x:c r="D16" s="10" t="n">
        <x:v>254.27978584000002</x:v>
      </x:c>
      <x:c r="E16" s="10" t="n">
        <x:v>201.15133734</x:v>
      </x:c>
      <x:c r="F16" s="10"/>
      <x:c r="G16" s="10"/>
      <x:c r="H16" s="10"/>
      <x:c r="I16" s="19" t="n">
        <x:v>110000</x:v>
      </x:c>
      <x:c r="J16" s="20" t="n">
        <x:v>1851</x:v>
      </x:c>
      <x:c r="K16" s="18"/>
      <x:c r="L16" s="2" t="str">
        <x:v>S_cofoe_2025</x:v>
      </x:c>
      <x:c r="M16" s="2" t="str">
        <x:v>品类/合并对外口径；空白不等于零</x:v>
      </x:c>
      <x:c r="N16" s="2"/>
    </x:row>
    <x:row r="17" ht="23" customHeight="1">
      <x:c r="A17" s="2" t="str">
        <x:v>301087</x:v>
      </x:c>
      <x:c r="B17" s="2" t="str">
        <x:v>2024A</x:v>
      </x:c>
      <x:c r="C17" s="10" t="n">
        <x:v>2982.93113048</x:v>
      </x:c>
      <x:c r="D17" s="10" t="n">
        <x:v>311.75094439</x:v>
      </x:c>
      <x:c r="E17" s="10" t="n">
        <x:v>275.06292919</x:v>
      </x:c>
      <x:c r="F17" s="10" t="n">
        <x:v>209.092</x:v>
      </x:c>
      <x:c r="G17" s="10"/>
      <x:c r="H17" s="10"/>
      <x:c r="I17" s="19" t="n">
        <x:v>156000</x:v>
      </x:c>
      <x:c r="J17" s="20" t="n">
        <x:v>1817</x:v>
      </x:c>
      <x:c r="K17" s="18"/>
      <x:c r="L17" s="2" t="str">
        <x:v>S_cofoe_2025</x:v>
      </x:c>
      <x:c r="M17" s="2" t="str">
        <x:v>品类/合并对外口径；空白不等于零</x:v>
      </x:c>
      <x:c r="N17" s="2"/>
    </x:row>
    <x:row r="18" ht="23" customHeight="1">
      <x:c r="A18" s="2" t="str">
        <x:v>301087</x:v>
      </x:c>
      <x:c r="B18" s="2" t="str">
        <x:v>2025A</x:v>
      </x:c>
      <x:c r="C18" s="10" t="n">
        <x:v>3387.4992532399997</x:v>
      </x:c>
      <x:c r="D18" s="10" t="n">
        <x:v>371.60860666</x:v>
      </x:c>
      <x:c r="E18" s="10" t="n">
        <x:v>297.96567328</x:v>
      </x:c>
      <x:c r="F18" s="10" t="n">
        <x:v>208.897</x:v>
      </x:c>
      <x:c r="G18" s="10" t="n">
        <x:v>325</x:v>
      </x:c>
      <x:c r="H18" s="10"/>
      <x:c r="I18" s="19" t="n">
        <x:v>210000</x:v>
      </x:c>
      <x:c r="J18" s="20" t="n">
        <x:v>1549</x:v>
      </x:c>
      <x:c r="K18" s="18"/>
      <x:c r="L18" s="2" t="str">
        <x:v>S_cofoe_2025</x:v>
      </x:c>
      <x:c r="M18" s="2" t="str">
        <x:v>品类/合并对外口径；空白不等于零</x:v>
      </x:c>
      <x:c r="N18" s="2"/>
    </x:row>
    <x:row r="19" ht="23" customHeight="1">
      <x:c r="A19" s="2" t="str">
        <x:v>301087</x:v>
      </x:c>
      <x:c r="B19" s="2" t="str">
        <x:v>2025H1</x:v>
      </x:c>
      <x:c r="C19" s="10" t="n">
        <x:v>1495.76400012</x:v>
      </x:c>
      <x:c r="D19" s="10" t="n">
        <x:v>167.38751903</x:v>
      </x:c>
      <x:c r="E19" s="10" t="n">
        <x:v>136.18900484</x:v>
      </x:c>
      <x:c r="F19" s="10"/>
      <x:c r="G19" s="10"/>
      <x:c r="H19" s="10"/>
      <x:c r="I19" s="19"/>
      <x:c r="J19" s="20"/>
      <x:c r="K19" s="18"/>
      <x:c r="L19" s="2" t="str">
        <x:v>S_cofoe_2026h1</x:v>
      </x:c>
      <x:c r="M19" s="2" t="str">
        <x:v>品类/合并对外口径；空白不等于零</x:v>
      </x:c>
      <x:c r="N19" s="2"/>
    </x:row>
    <x:row r="20" ht="23" customHeight="1">
      <x:c r="A20" s="2" t="str">
        <x:v>301087</x:v>
      </x:c>
      <x:c r="B20" s="2" t="str">
        <x:v>2026H1</x:v>
      </x:c>
      <x:c r="C20" s="10" t="n">
        <x:v>2071.84799136</x:v>
      </x:c>
      <x:c r="D20" s="10" t="n">
        <x:v>202.26377419</x:v>
      </x:c>
      <x:c r="E20" s="10" t="n">
        <x:v>172.59764733</x:v>
      </x:c>
      <x:c r="F20" s="10" t="n">
        <x:v>235.897</x:v>
      </x:c>
      <x:c r="G20" s="10"/>
      <x:c r="H20" s="10"/>
      <x:c r="I20" s="19"/>
      <x:c r="J20" s="20"/>
      <x:c r="K20" s="18"/>
      <x:c r="L20" s="2" t="str">
        <x:v>S_cofoe_2026h1</x:v>
      </x:c>
      <x:c r="M20" s="2" t="str">
        <x:v>品类/合并对外口径；空白不等于零</x:v>
      </x:c>
      <x:c r="N20" s="2"/>
    </x:row>
    <x:row r="21" ht="23" customHeight="1">
      <x:c r="A21" s="2" t="str">
        <x:v>301101</x:v>
      </x:c>
      <x:c r="B21" s="2" t="str">
        <x:v>2023A</x:v>
      </x:c>
      <x:c r="C21" s="10" t="n">
        <x:v>748.74320789</x:v>
      </x:c>
      <x:c r="D21" s="10" t="n">
        <x:v>157.54302113999998</x:v>
      </x:c>
      <x:c r="E21" s="10" t="n">
        <x:v>136.19845601</x:v>
      </x:c>
      <x:c r="F21" s="10" t="n">
        <x:v>201.5121</x:v>
      </x:c>
      <x:c r="G21" s="10" t="n">
        <x:v>595.3104036699999</x:v>
      </x:c>
      <x:c r="H21" s="10"/>
      <x:c r="I21" s="19"/>
      <x:c r="J21" s="20"/>
      <x:c r="K21" s="18" t="n">
        <x:v>0.6208</x:v>
      </x:c>
      <x:c r="L21" s="2" t="str">
        <x:v>S_mingyue_2025</x:v>
      </x:c>
      <x:c r="M21" s="2" t="str">
        <x:v>此分项为全部镜片，不是老视渐进</x:v>
      </x:c>
      <x:c r="N21" s="2"/>
    </x:row>
    <x:row r="22" ht="23" customHeight="1">
      <x:c r="A22" s="2" t="str">
        <x:v>301101</x:v>
      </x:c>
      <x:c r="B22" s="2" t="str">
        <x:v>2024A</x:v>
      </x:c>
      <x:c r="C22" s="10" t="n">
        <x:v>770.29778661</x:v>
      </x:c>
      <x:c r="D22" s="10" t="n">
        <x:v>176.78592828</x:v>
      </x:c>
      <x:c r="E22" s="10" t="n">
        <x:v>152.09760369</x:v>
      </x:c>
      <x:c r="F22" s="10" t="n">
        <x:v>201.5121</x:v>
      </x:c>
      <x:c r="G22" s="10" t="n">
        <x:v>634.00653429</x:v>
      </x:c>
      <x:c r="H22" s="10" t="n">
        <x:v>232.23845818</x:v>
      </x:c>
      <x:c r="I22" s="19"/>
      <x:c r="J22" s="20"/>
      <x:c r="K22" s="18" t="n">
        <x:v>0.6336999999999999</x:v>
      </x:c>
      <x:c r="L22" s="2" t="str">
        <x:v>S_mingyue_2025</x:v>
      </x:c>
      <x:c r="M22" s="2" t="str">
        <x:v>此分项为全部镜片，不是老视渐进</x:v>
      </x:c>
      <x:c r="N22" s="2"/>
    </x:row>
    <x:row r="23" ht="23" customHeight="1">
      <x:c r="A23" s="2" t="str">
        <x:v>301101</x:v>
      </x:c>
      <x:c r="B23" s="2" t="str">
        <x:v>2025A</x:v>
      </x:c>
      <x:c r="C23" s="10" t="n">
        <x:v>827.50071028</x:v>
      </x:c>
      <x:c r="D23" s="10" t="n">
        <x:v>192.92262265</x:v>
      </x:c>
      <x:c r="E23" s="10" t="n">
        <x:v>166.19700887</x:v>
      </x:c>
      <x:c r="F23" s="10" t="n">
        <x:v>201.5121</x:v>
      </x:c>
      <x:c r="G23" s="10" t="n">
        <x:v>685.50564889</x:v>
      </x:c>
      <x:c r="H23" s="10" t="n">
        <x:v>259.63771319</x:v>
      </x:c>
      <x:c r="I23" s="19"/>
      <x:c r="J23" s="20"/>
      <x:c r="K23" s="18" t="n">
        <x:v>0.6212</x:v>
      </x:c>
      <x:c r="L23" s="2" t="str">
        <x:v>S_mingyue_2025</x:v>
      </x:c>
      <x:c r="M23" s="2" t="str">
        <x:v>此分项为全部镜片，不是老视渐进</x:v>
      </x:c>
      <x:c r="N23" s="2"/>
    </x:row>
    <x:row r="24" ht="23" customHeight="1">
      <x:c r="A24" s="2" t="str">
        <x:v>301101</x:v>
      </x:c>
      <x:c r="B24" s="2" t="str">
        <x:v>2025H1</x:v>
      </x:c>
      <x:c r="C24" s="10" t="n">
        <x:v>399.17179770999996</x:v>
      </x:c>
      <x:c r="D24" s="10" t="n">
        <x:v>95.50605546</x:v>
      </x:c>
      <x:c r="E24" s="10" t="n">
        <x:v>82.72352151999999</x:v>
      </x:c>
      <x:c r="F24" s="10"/>
      <x:c r="G24" s="10" t="n">
        <x:v>333.40235418000003</x:v>
      </x:c>
      <x:c r="H24" s="10" t="n">
        <x:v>125.36957616</x:v>
      </x:c>
      <x:c r="I24" s="19"/>
      <x:c r="J24" s="20"/>
      <x:c r="K24" s="18" t="n">
        <x:v>0.624</x:v>
      </x:c>
      <x:c r="L24" s="2" t="str">
        <x:v>S_mingyue_2026h1</x:v>
      </x:c>
      <x:c r="M24" s="2" t="str">
        <x:v>此分项为全部镜片，不是老视渐进</x:v>
      </x:c>
      <x:c r="N24" s="2"/>
    </x:row>
    <x:row r="25" ht="23" customHeight="1">
      <x:c r="A25" s="2" t="str">
        <x:v>301101</x:v>
      </x:c>
      <x:c r="B25" s="2" t="str">
        <x:v>2026H1</x:v>
      </x:c>
      <x:c r="C25" s="10" t="n">
        <x:v>456.52925691</x:v>
      </x:c>
      <x:c r="D25" s="10" t="n">
        <x:v>111.07297169</x:v>
      </x:c>
      <x:c r="E25" s="10" t="n">
        <x:v>97.30772383</x:v>
      </x:c>
      <x:c r="F25" s="10" t="n">
        <x:v>201.5121</x:v>
      </x:c>
      <x:c r="G25" s="10" t="n">
        <x:v>377.89275456999997</x:v>
      </x:c>
      <x:c r="H25" s="10" t="n">
        <x:v>146.69697703</x:v>
      </x:c>
      <x:c r="I25" s="19"/>
      <x:c r="J25" s="20"/>
      <x:c r="K25" s="18" t="n">
        <x:v>0.6118</x:v>
      </x:c>
      <x:c r="L25" s="2" t="str">
        <x:v>S_mingyue_2026h1</x:v>
      </x:c>
      <x:c r="M25" s="2" t="str">
        <x:v>此分项为全部镜片，不是老视渐进</x:v>
      </x:c>
      <x:c r="N25" s="2"/>
    </x:row>
    <x:row r="26" ht="23" customHeight="1">
      <x:c r="A26" s="2" t="str">
        <x:v>688613</x:v>
      </x:c>
      <x:c r="B26" s="2" t="str">
        <x:v>2023A</x:v>
      </x:c>
      <x:c r="C26" s="10" t="n">
        <x:v>226.47589498</x:v>
      </x:c>
      <x:c r="D26" s="10" t="n">
        <x:v>54.23184071</x:v>
      </x:c>
      <x:c r="E26" s="10" t="n">
        <x:v>25.766199739999998</x:v>
      </x:c>
      <x:c r="F26" s="10"/>
      <x:c r="G26" s="10"/>
      <x:c r="H26" s="10"/>
      <x:c r="I26" s="19"/>
      <x:c r="J26" s="20"/>
      <x:c r="K26" s="18"/>
      <x:c r="L26" s="2" t="str">
        <x:v>S_allgens_2025</x:v>
      </x:c>
      <x:c r="M26" s="2" t="str">
        <x:v>品类/合并对外口径；空白不等于零</x:v>
      </x:c>
      <x:c r="N26" s="2"/>
    </x:row>
    <x:row r="27" ht="23" customHeight="1">
      <x:c r="A27" s="2" t="str">
        <x:v>688613</x:v>
      </x:c>
      <x:c r="B27" s="2" t="str">
        <x:v>2024A</x:v>
      </x:c>
      <x:c r="C27" s="10" t="n">
        <x:v>206.03301477000002</x:v>
      </x:c>
      <x:c r="D27" s="10" t="n">
        <x:v>-12.662162689999999</x:v>
      </x:c>
      <x:c r="E27" s="10" t="n">
        <x:v>-28.37111981</x:v>
      </x:c>
      <x:c r="F27" s="10"/>
      <x:c r="G27" s="10" t="n">
        <x:v>2.4839332580412</x:v>
      </x:c>
      <x:c r="H27" s="10" t="n">
        <x:v>1.687188045131846</x:v>
      </x:c>
      <x:c r="I27" s="19"/>
      <x:c r="J27" s="20"/>
      <x:c r="K27" s="18" t="n">
        <x:v>0.3208</x:v>
      </x:c>
      <x:c r="L27" s="2" t="str">
        <x:v>S_allgens_2025</x:v>
      </x:c>
      <x:c r="M27" s="2" t="str">
        <x:v>品类/合并对外口径；空白不等于零</x:v>
      </x:c>
      <x:c r="N27" s="2"/>
    </x:row>
    <x:row r="28" ht="23" customHeight="1">
      <x:c r="A28" s="2" t="str">
        <x:v>688613</x:v>
      </x:c>
      <x:c r="B28" s="2" t="str">
        <x:v>2025A</x:v>
      </x:c>
      <x:c r="C28" s="10" t="n">
        <x:v>223.73681767</x:v>
      </x:c>
      <x:c r="D28" s="10" t="n">
        <x:v>13.83924409</x:v>
      </x:c>
      <x:c r="E28" s="10" t="n">
        <x:v>-0.9586370500000001</x:v>
      </x:c>
      <x:c r="F28" s="10" t="n">
        <x:v>137.008584</x:v>
      </x:c>
      <x:c r="G28" s="10" t="n">
        <x:v>2.74921733</x:v>
      </x:c>
      <x:c r="H28" s="10" t="n">
        <x:v>1.33085393</x:v>
      </x:c>
      <x:c r="I28" s="19" t="n">
        <x:v>8018</x:v>
      </x:c>
      <x:c r="J28" s="20"/>
      <x:c r="K28" s="18" t="n">
        <x:v>0.5159</x:v>
      </x:c>
      <x:c r="L28" s="2" t="str">
        <x:v>S_allgens_2025</x:v>
      </x:c>
      <x:c r="M28" s="2" t="str">
        <x:v>品类/合并对外口径；空白不等于零</x:v>
      </x:c>
      <x:c r="N28" s="2"/>
    </x:row>
    <x:row r="29" ht="23" customHeight="1">
      <x:c r="A29" s="2" t="str">
        <x:v>688613</x:v>
      </x:c>
      <x:c r="B29" s="2" t="str">
        <x:v>2025H1</x:v>
      </x:c>
      <x:c r="C29" s="10" t="n">
        <x:v>100.03694554</x:v>
      </x:c>
      <x:c r="D29" s="10" t="n">
        <x:v>7.97534363</x:v>
      </x:c>
      <x:c r="E29" s="10" t="n">
        <x:v>-0.00178408</x:v>
      </x:c>
      <x:c r="F29" s="10"/>
      <x:c r="G29" s="10"/>
      <x:c r="H29" s="10"/>
      <x:c r="I29" s="19"/>
      <x:c r="J29" s="20"/>
      <x:c r="K29" s="18"/>
      <x:c r="L29" s="2" t="str">
        <x:v>S_allgens_2026h1</x:v>
      </x:c>
      <x:c r="M29" s="2" t="str">
        <x:v>品类/合并对外口径；空白不等于零</x:v>
      </x:c>
      <x:c r="N29" s="2"/>
    </x:row>
    <x:row r="30" ht="23" customHeight="1">
      <x:c r="A30" s="2" t="str">
        <x:v>688613</x:v>
      </x:c>
      <x:c r="B30" s="2" t="str">
        <x:v>2026H1</x:v>
      </x:c>
      <x:c r="C30" s="10" t="n">
        <x:v>104.06461126</x:v>
      </x:c>
      <x:c r="D30" s="10" t="n">
        <x:v>2.7545828599999997</x:v>
      </x:c>
      <x:c r="E30" s="10" t="n">
        <x:v>-2.89417641</x:v>
      </x:c>
      <x:c r="F30" s="10" t="n">
        <x:v>137.008584</x:v>
      </x:c>
      <x:c r="G30" s="10" t="n">
        <x:v>5.85966037</x:v>
      </x:c>
      <x:c r="H30" s="10" t="n">
        <x:v>3.98986412</x:v>
      </x:c>
      <x:c r="I30" s="19"/>
      <x:c r="J30" s="20"/>
      <x:c r="K30" s="18" t="n">
        <x:v>0.3190963523368847</x:v>
      </x:c>
      <x:c r="L30" s="2" t="str">
        <x:v>S_allgens_2026h1</x:v>
      </x:c>
      <x:c r="M30" s="2" t="str">
        <x:v>品类/合并对外口径；空白不等于零</x:v>
      </x:c>
      <x:c r="N30" s="2"/>
    </x:row>
    <x:row r="31" ht="23" customHeight="1">
      <x:c r="A31" s="2" t="str">
        <x:v>300622</x:v>
      </x:c>
      <x:c r="B31" s="2" t="str">
        <x:v>2023A</x:v>
      </x:c>
      <x:c r="C31" s="10" t="n">
        <x:v>1175.86549537</x:v>
      </x:c>
      <x:c r="D31" s="10" t="n">
        <x:v>128.06478956</x:v>
      </x:c>
      <x:c r="E31" s="10" t="n">
        <x:v>116.45459515</x:v>
      </x:c>
      <x:c r="F31" s="10"/>
      <x:c r="G31" s="10"/>
      <x:c r="H31" s="10"/>
      <x:c r="I31" s="19"/>
      <x:c r="J31" s="20"/>
      <x:c r="K31" s="18"/>
      <x:c r="L31" s="2" t="str">
        <x:v>S_doctor_2025</x:v>
      </x:c>
      <x:c r="M31" s="2" t="str">
        <x:v>品类/合并对外口径；空白不等于零</x:v>
      </x:c>
      <x:c r="N31" s="2"/>
    </x:row>
    <x:row r="32" ht="23" customHeight="1">
      <x:c r="A32" s="2" t="str">
        <x:v>300622</x:v>
      </x:c>
      <x:c r="B32" s="2" t="str">
        <x:v>2024A</x:v>
      </x:c>
      <x:c r="C32" s="10" t="n">
        <x:v>1202.81610075</x:v>
      </x:c>
      <x:c r="D32" s="10" t="n">
        <x:v>103.62843357</x:v>
      </x:c>
      <x:c r="E32" s="10" t="n">
        <x:v>88.4759975</x:v>
      </x:c>
      <x:c r="F32" s="10"/>
      <x:c r="G32" s="10"/>
      <x:c r="H32" s="10"/>
      <x:c r="I32" s="19"/>
      <x:c r="J32" s="20"/>
      <x:c r="K32" s="18"/>
      <x:c r="L32" s="2" t="str">
        <x:v>S_doctor_2025</x:v>
      </x:c>
      <x:c r="M32" s="2" t="str">
        <x:v>品类/合并对外口径；空白不等于零</x:v>
      </x:c>
      <x:c r="N32" s="2"/>
    </x:row>
    <x:row r="33" ht="23" customHeight="1">
      <x:c r="A33" s="2" t="str">
        <x:v>300622</x:v>
      </x:c>
      <x:c r="B33" s="2" t="str">
        <x:v>2025A</x:v>
      </x:c>
      <x:c r="C33" s="10" t="n">
        <x:v>1360.38329798</x:v>
      </x:c>
      <x:c r="D33" s="10" t="n">
        <x:v>148.60595242</x:v>
      </x:c>
      <x:c r="E33" s="10" t="n">
        <x:v>123.10960054</x:v>
      </x:c>
      <x:c r="F33" s="10" t="n">
        <x:v>227.85416</x:v>
      </x:c>
      <x:c r="G33" s="10"/>
      <x:c r="H33" s="10"/>
      <x:c r="I33" s="19"/>
      <x:c r="J33" s="20"/>
      <x:c r="K33" s="18"/>
      <x:c r="L33" s="2" t="str">
        <x:v>S_doctor_2025</x:v>
      </x:c>
      <x:c r="M33" s="2" t="str">
        <x:v>品类/合并对外口径；空白不等于零</x:v>
      </x:c>
      <x:c r="N33" s="2"/>
    </x:row>
    <x:row r="34" ht="23" customHeight="1">
      <x:c r="A34" s="2" t="str">
        <x:v>300622</x:v>
      </x:c>
      <x:c r="B34" s="2" t="str">
        <x:v>2025H1</x:v>
      </x:c>
      <x:c r="C34" s="10" t="n">
        <x:v>686.37324399</x:v>
      </x:c>
      <x:c r="D34" s="10" t="n">
        <x:v>56.03344722</x:v>
      </x:c>
      <x:c r="E34" s="10" t="n">
        <x:v>49.645217409999994</x:v>
      </x:c>
      <x:c r="F34" s="10"/>
      <x:c r="G34" s="10"/>
      <x:c r="H34" s="10"/>
      <x:c r="I34" s="19"/>
      <x:c r="J34" s="20"/>
      <x:c r="K34" s="18"/>
      <x:c r="L34" s="2" t="str">
        <x:v>S_doctor_2026h1</x:v>
      </x:c>
      <x:c r="M34" s="2" t="str">
        <x:v>品类/合并对外口径；空白不等于零</x:v>
      </x:c>
      <x:c r="N34" s="2"/>
    </x:row>
    <x:row r="35" ht="23" customHeight="1">
      <x:c r="A35" s="2" t="str">
        <x:v>300622</x:v>
      </x:c>
      <x:c r="B35" s="2" t="str">
        <x:v>2026H1</x:v>
      </x:c>
      <x:c r="C35" s="10" t="n">
        <x:v>746.8625977300001</x:v>
      </x:c>
      <x:c r="D35" s="10" t="n">
        <x:v>83.03926633</x:v>
      </x:c>
      <x:c r="E35" s="10" t="n">
        <x:v>60.70409996</x:v>
      </x:c>
      <x:c r="F35" s="10" t="n">
        <x:v>318.995824</x:v>
      </x:c>
      <x:c r="G35" s="10"/>
      <x:c r="H35" s="10"/>
      <x:c r="I35" s="19"/>
      <x:c r="J35" s="20"/>
      <x:c r="K35" s="18"/>
      <x:c r="L35" s="2" t="str">
        <x:v>S_doctor_2026h1</x:v>
      </x:c>
      <x:c r="M35" s="2" t="str">
        <x:v>品类/合并对外口径；空白不等于零</x:v>
      </x:c>
      <x:c r="N35" s="2"/>
    </x:row>
    <x:row r="36" ht="23" customHeight="1">
      <x:c r="A36" s="2" t="str">
        <x:v>300146</x:v>
      </x:c>
      <x:c r="B36" s="2" t="str">
        <x:v>2023A</x:v>
      </x:c>
      <x:c r="C36" s="10" t="n">
        <x:v>9406.81373675</x:v>
      </x:c>
      <x:c r="D36" s="10" t="n">
        <x:v>1746.30964381</x:v>
      </x:c>
      <x:c r="E36" s="10" t="n">
        <x:v>1596.9441428599998</x:v>
      </x:c>
      <x:c r="F36" s="10"/>
      <x:c r="G36" s="10"/>
      <x:c r="H36" s="10"/>
      <x:c r="I36" s="19"/>
      <x:c r="J36" s="20"/>
      <x:c r="K36" s="18"/>
      <x:c r="L36" s="2" t="str">
        <x:v>R_byhealth_2024</x:v>
      </x:c>
      <x:c r="M36" s="2" t="str">
        <x:v>历史股票转增未调整股数；模型EPS另用静态当前股本。分项非纯CGM/PAP/OOP。</x:v>
      </x:c>
      <x:c r="N36" s="2"/>
    </x:row>
    <x:row r="37" ht="23" customHeight="1">
      <x:c r="A37" s="2" t="str">
        <x:v>300146</x:v>
      </x:c>
      <x:c r="B37" s="2" t="str">
        <x:v>2024A</x:v>
      </x:c>
      <x:c r="C37" s="10" t="n">
        <x:v>6838.39476362</x:v>
      </x:c>
      <x:c r="D37" s="10" t="n">
        <x:v>652.8338081799999</x:v>
      </x:c>
      <x:c r="E37" s="10" t="n">
        <x:v>626.31180335</x:v>
      </x:c>
      <x:c r="F37" s="10"/>
      <x:c r="G37" s="10"/>
      <x:c r="H37" s="10"/>
      <x:c r="I37" s="19"/>
      <x:c r="J37" s="20"/>
      <x:c r="K37" s="18"/>
      <x:c r="L37" s="2" t="str">
        <x:v>R_byhealth_2024</x:v>
      </x:c>
      <x:c r="M37" s="2" t="str">
        <x:v>历史股票转增未调整股数；模型EPS另用静态当前股本。分项非纯CGM/PAP/OOP。</x:v>
      </x:c>
      <x:c r="N37" s="2"/>
    </x:row>
    <x:row r="38" ht="23" customHeight="1">
      <x:c r="A38" s="2" t="str">
        <x:v>300146</x:v>
      </x:c>
      <x:c r="B38" s="2" t="str">
        <x:v>2025A</x:v>
      </x:c>
      <x:c r="C38" s="10" t="n">
        <x:v>6265.4708205</x:v>
      </x:c>
      <x:c r="D38" s="10" t="n">
        <x:v>782.1505436599999</x:v>
      </x:c>
      <x:c r="E38" s="10" t="n">
        <x:v>685.7797267899999</x:v>
      </x:c>
      <x:c r="F38" s="10"/>
      <x:c r="G38" s="10"/>
      <x:c r="H38" s="10"/>
      <x:c r="I38" s="19"/>
      <x:c r="J38" s="20"/>
      <x:c r="K38" s="18"/>
      <x:c r="L38" s="2" t="str">
        <x:v>R_byhealth_2025</x:v>
      </x:c>
      <x:c r="M38" s="2" t="str">
        <x:v>历史股票转增未调整股数；模型EPS另用静态当前股本。分项非纯CGM/PAP/OOP。</x:v>
      </x:c>
      <x:c r="N38" s="2"/>
    </x:row>
    <x:row r="39" ht="23" customHeight="1">
      <x:c r="A39" s="2" t="str">
        <x:v>300146</x:v>
      </x:c>
      <x:c r="B39" s="2" t="str">
        <x:v>2026H1</x:v>
      </x:c>
      <x:c r="C39" s="10" t="n">
        <x:v>3671.38005569</x:v>
      </x:c>
      <x:c r="D39" s="10" t="n">
        <x:v>603.12175113</x:v>
      </x:c>
      <x:c r="E39" s="10" t="n">
        <x:v>556.58050651</x:v>
      </x:c>
      <x:c r="F39" s="10" t="n">
        <x:v>1691.677031</x:v>
      </x:c>
      <x:c r="G39" s="10"/>
      <x:c r="H39" s="10"/>
      <x:c r="I39" s="19"/>
      <x:c r="J39" s="20"/>
      <x:c r="K39" s="18"/>
      <x:c r="L39" s="2" t="str">
        <x:v>R_byhealth_2026h1</x:v>
      </x:c>
      <x:c r="M39" s="2" t="str">
        <x:v>历史股票转增未调整股数；模型EPS另用静态当前股本。分项非纯CGM/PAP/OOP。</x:v>
      </x:c>
      <x:c r="N39" s="2"/>
    </x:row>
    <x:row r="40" ht="23" customHeight="1">
      <x:c r="A40" s="2" t="str">
        <x:v>300298</x:v>
      </x:c>
      <x:c r="B40" s="2" t="str">
        <x:v>2023A</x:v>
      </x:c>
      <x:c r="C40" s="10" t="n">
        <x:v>4058.78604541</x:v>
      </x:c>
      <x:c r="D40" s="10" t="n">
        <x:v>284.39791189</x:v>
      </x:c>
      <x:c r="E40" s="10" t="n">
        <x:v>292.73510127</x:v>
      </x:c>
      <x:c r="F40" s="10"/>
      <x:c r="G40" s="10" t="n">
        <x:v>2872.96686383</x:v>
      </x:c>
      <x:c r="H40" s="10"/>
      <x:c r="I40" s="19"/>
      <x:c r="J40" s="20"/>
      <x:c r="K40" s="18" t="n">
        <x:v>0.5907</x:v>
      </x:c>
      <x:c r="L40" s="2" t="str">
        <x:v>R_sinocare_2024</x:v>
      </x:c>
      <x:c r="M40" s="2" t="str">
        <x:v>历史股票转增未调整股数；模型EPS另用静态当前股本。分项非纯CGM/PAP/OOP。</x:v>
      </x:c>
      <x:c r="N40" s="2"/>
    </x:row>
    <x:row r="41" ht="23" customHeight="1">
      <x:c r="A41" s="2" t="str">
        <x:v>300298</x:v>
      </x:c>
      <x:c r="B41" s="2" t="str">
        <x:v>2024A</x:v>
      </x:c>
      <x:c r="C41" s="10" t="n">
        <x:v>4443.12357061</x:v>
      </x:c>
      <x:c r="D41" s="10" t="n">
        <x:v>326.29099305</x:v>
      </x:c>
      <x:c r="E41" s="10" t="n">
        <x:v>294.6407187</x:v>
      </x:c>
      <x:c r="F41" s="10"/>
      <x:c r="G41" s="10" t="n">
        <x:v>3320.5208103</x:v>
      </x:c>
      <x:c r="H41" s="10" t="n">
        <x:v>1322.0849011500002</x:v>
      </x:c>
      <x:c r="I41" s="19"/>
      <x:c r="J41" s="20"/>
      <x:c r="K41" s="18" t="n">
        <x:v>0.6018</x:v>
      </x:c>
      <x:c r="L41" s="2" t="str">
        <x:v>R_sinocare_2024</x:v>
      </x:c>
      <x:c r="M41" s="2" t="str">
        <x:v>历史股票转增未调整股数；模型EPS另用静态当前股本。分项非纯CGM/PAP/OOP。</x:v>
      </x:c>
      <x:c r="N41" s="2"/>
    </x:row>
    <x:row r="42" ht="23" customHeight="1">
      <x:c r="A42" s="2" t="str">
        <x:v>300298</x:v>
      </x:c>
      <x:c r="B42" s="2" t="str">
        <x:v>2025A</x:v>
      </x:c>
      <x:c r="C42" s="10" t="n">
        <x:v>4659.3359135</x:v>
      </x:c>
      <x:c r="D42" s="10" t="n">
        <x:v>92.64885869</x:v>
      </x:c>
      <x:c r="E42" s="10" t="n">
        <x:v>59.020547979999996</x:v>
      </x:c>
      <x:c r="F42" s="10"/>
      <x:c r="G42" s="10" t="n">
        <x:v>3469.6312325599997</x:v>
      </x:c>
      <x:c r="H42" s="10" t="n">
        <x:v>1672.45351092</x:v>
      </x:c>
      <x:c r="I42" s="19"/>
      <x:c r="J42" s="20"/>
      <x:c r="K42" s="18" t="n">
        <x:v>0.518</x:v>
      </x:c>
      <x:c r="L42" s="2" t="str">
        <x:v>R_sinocare_2025</x:v>
      </x:c>
      <x:c r="M42" s="2" t="str">
        <x:v>历史股票转增未调整股数；模型EPS另用静态当前股本。分项非纯CGM/PAP/OOP。</x:v>
      </x:c>
      <x:c r="N42" s="2"/>
    </x:row>
    <x:row r="43" ht="23" customHeight="1">
      <x:c r="A43" s="2" t="str">
        <x:v>300298</x:v>
      </x:c>
      <x:c r="B43" s="2" t="str">
        <x:v>2026H1</x:v>
      </x:c>
      <x:c r="C43" s="10" t="n">
        <x:v>2537.03627921</x:v>
      </x:c>
      <x:c r="D43" s="10" t="n">
        <x:v>221.3373416</x:v>
      </x:c>
      <x:c r="E43" s="10" t="n">
        <x:v>210.29916014</x:v>
      </x:c>
      <x:c r="F43" s="10" t="n">
        <x:v>556.845893</x:v>
      </x:c>
      <x:c r="G43" s="10" t="n">
        <x:v>1880.75046086</x:v>
      </x:c>
      <x:c r="H43" s="10" t="n">
        <x:v>810.1473521900001</x:v>
      </x:c>
      <x:c r="I43" s="19"/>
      <x:c r="J43" s="20"/>
      <x:c r="K43" s="18" t="n">
        <x:v>0.5692</x:v>
      </x:c>
      <x:c r="L43" s="2" t="str">
        <x:v>R_sinocare_2026h1</x:v>
      </x:c>
      <x:c r="M43" s="2" t="str">
        <x:v>历史股票转增未调整股数；模型EPS另用静态当前股本。分项非纯CGM/PAP/OOP。</x:v>
      </x:c>
      <x:c r="N43" s="2"/>
    </x:row>
    <x:row r="44" ht="23" customHeight="1">
      <x:c r="A44" s="2" t="str">
        <x:v>301363</x:v>
      </x:c>
      <x:c r="B44" s="2" t="str">
        <x:v>2023A</x:v>
      </x:c>
      <x:c r="C44" s="10" t="n">
        <x:v>1337.5866733399998</x:v>
      </x:c>
      <x:c r="D44" s="10" t="n">
        <x:v>313.30057505</x:v>
      </x:c>
      <x:c r="E44" s="10" t="n">
        <x:v>291.01731235</x:v>
      </x:c>
      <x:c r="F44" s="10"/>
      <x:c r="G44" s="10"/>
      <x:c r="H44" s="10"/>
      <x:c r="I44" s="19"/>
      <x:c r="J44" s="20"/>
      <x:c r="K44" s="18"/>
      <x:c r="L44" s="2" t="str">
        <x:v>R_mehow_2024</x:v>
      </x:c>
      <x:c r="M44" s="2" t="str">
        <x:v>历史股票转增未调整股数；模型EPS另用静态当前股本。分项非纯CGM/PAP/OOP。</x:v>
      </x:c>
      <x:c r="N44" s="2"/>
    </x:row>
    <x:row r="45" ht="23" customHeight="1">
      <x:c r="A45" s="2" t="str">
        <x:v>301363</x:v>
      </x:c>
      <x:c r="B45" s="2" t="str">
        <x:v>2024A</x:v>
      </x:c>
      <x:c r="C45" s="10" t="n">
        <x:v>1594.2081097</x:v>
      </x:c>
      <x:c r="D45" s="10" t="n">
        <x:v>363.77647742</x:v>
      </x:c>
      <x:c r="E45" s="10" t="n">
        <x:v>350.30222441</x:v>
      </x:c>
      <x:c r="F45" s="10"/>
      <x:c r="G45" s="10" t="n">
        <x:v>1107.00994442</x:v>
      </x:c>
      <x:c r="H45" s="10"/>
      <x:c r="I45" s="19"/>
      <x:c r="J45" s="20"/>
      <x:c r="K45" s="18"/>
      <x:c r="L45" s="2" t="str">
        <x:v>R_mehow_2024</x:v>
      </x:c>
      <x:c r="M45" s="2" t="str">
        <x:v>历史股票转增未调整股数；模型EPS另用静态当前股本。分项非纯CGM/PAP/OOP。</x:v>
      </x:c>
      <x:c r="N45" s="2"/>
    </x:row>
    <x:row r="46" ht="23" customHeight="1">
      <x:c r="A46" s="2" t="str">
        <x:v>301363</x:v>
      </x:c>
      <x:c r="B46" s="2" t="str">
        <x:v>2025A</x:v>
      </x:c>
      <x:c r="C46" s="10" t="n">
        <x:v>1625.48654042</x:v>
      </x:c>
      <x:c r="D46" s="10" t="n">
        <x:v>283.08097189999995</x:v>
      </x:c>
      <x:c r="E46" s="10" t="n">
        <x:v>277.4906866</x:v>
      </x:c>
      <x:c r="F46" s="10"/>
      <x:c r="G46" s="10" t="n">
        <x:v>999.8698512799999</x:v>
      </x:c>
      <x:c r="H46" s="10" t="n">
        <x:v>562.0477337000001</x:v>
      </x:c>
      <x:c r="I46" s="19"/>
      <x:c r="J46" s="20"/>
      <x:c r="K46" s="18" t="n">
        <x:v>0.4379</x:v>
      </x:c>
      <x:c r="L46" s="2" t="str">
        <x:v>R_mehow_2025</x:v>
      </x:c>
      <x:c r="M46" s="2" t="str">
        <x:v>历史股票转增未调整股数；模型EPS另用静态当前股本。分项非纯CGM/PAP/OOP。</x:v>
      </x:c>
      <x:c r="N46" s="2"/>
    </x:row>
    <x:row r="47" ht="23" customHeight="1">
      <x:c r="A47" s="2" t="str">
        <x:v>301363</x:v>
      </x:c>
      <x:c r="B47" s="2" t="str">
        <x:v>2026H1</x:v>
      </x:c>
      <x:c r="C47" s="10" t="n">
        <x:v>813.2130291</x:v>
      </x:c>
      <x:c r="D47" s="10" t="n">
        <x:v>124.32407536</x:v>
      </x:c>
      <x:c r="E47" s="10" t="n">
        <x:v>120.27046920999999</x:v>
      </x:c>
      <x:c r="F47" s="10" t="n">
        <x:v>795.966832</x:v>
      </x:c>
      <x:c r="G47" s="10"/>
      <x:c r="H47" s="10"/>
      <x:c r="I47" s="19"/>
      <x:c r="J47" s="20"/>
      <x:c r="K47" s="18"/>
      <x:c r="L47" s="2" t="str">
        <x:v>R_mehow_2026h1</x:v>
      </x:c>
      <x:c r="M47" s="2" t="str">
        <x:v>历史股票转增未调整股数；模型EPS另用静态当前股本。分项非纯CGM/PAP/OOP。</x:v>
      </x:c>
      <x:c r="N47" s="2"/>
    </x:row>
    <x:row r="48" ht="23" customHeight="1">
      <x:c r="A48" s="2" t="str">
        <x:v>301367</x:v>
      </x:c>
      <x:c r="B48" s="2" t="str">
        <x:v>2023A</x:v>
      </x:c>
      <x:c r="C48" s="10" t="n">
        <x:v>1122.42012589</x:v>
      </x:c>
      <x:c r="D48" s="10" t="n">
        <x:v>297.33970674</x:v>
      </x:c>
      <x:c r="E48" s="10" t="n">
        <x:v>241.95604825</x:v>
      </x:c>
      <x:c r="F48" s="10"/>
      <x:c r="G48" s="10" t="n">
        <x:v>852.58172961</x:v>
      </x:c>
      <x:c r="H48" s="10"/>
      <x:c r="I48" s="19" t="n">
        <x:v>654570</x:v>
      </x:c>
      <x:c r="J48" s="20" t="n">
        <x:v>1302.506576240891</x:v>
      </x:c>
      <x:c r="K48" s="18" t="n">
        <x:v>0.3967</x:v>
      </x:c>
      <x:c r="L48" s="2" t="str">
        <x:v>R_bmc_2024</x:v>
      </x:c>
      <x:c r="M48" s="2" t="str">
        <x:v>历史股票转增未调整股数；模型EPS另用静态当前股本。分项非纯CGM/PAP/OOP。</x:v>
      </x:c>
      <x:c r="N48" s="2"/>
    </x:row>
    <x:row r="49" ht="23" customHeight="1">
      <x:c r="A49" s="2" t="str">
        <x:v>301367</x:v>
      </x:c>
      <x:c r="B49" s="2" t="str">
        <x:v>2024A</x:v>
      </x:c>
      <x:c r="C49" s="10" t="n">
        <x:v>843.47979992</x:v>
      </x:c>
      <x:c r="D49" s="10" t="n">
        <x:v>155.3822416</x:v>
      </x:c>
      <x:c r="E49" s="10" t="n">
        <x:v>92.46335162000001</x:v>
      </x:c>
      <x:c r="F49" s="10"/>
      <x:c r="G49" s="10" t="n">
        <x:v>527.3490496000001</x:v>
      </x:c>
      <x:c r="H49" s="10" t="n">
        <x:v>321.73533661</x:v>
      </x:c>
      <x:c r="I49" s="19" t="n">
        <x:v>421324</x:v>
      </x:c>
      <x:c r="J49" s="20" t="n">
        <x:v>1251.6473061112115</x:v>
      </x:c>
      <x:c r="K49" s="18" t="n">
        <x:v>0.3899</x:v>
      </x:c>
      <x:c r="L49" s="2" t="str">
        <x:v>R_bmc_2024</x:v>
      </x:c>
      <x:c r="M49" s="2" t="str">
        <x:v>历史股票转增未调整股数；模型EPS另用静态当前股本。分项非纯CGM/PAP/OOP。</x:v>
      </x:c>
      <x:c r="N49" s="2"/>
    </x:row>
    <x:row r="50" ht="23" customHeight="1">
      <x:c r="A50" s="2" t="str">
        <x:v>301367</x:v>
      </x:c>
      <x:c r="B50" s="2" t="str">
        <x:v>2025A</x:v>
      </x:c>
      <x:c r="C50" s="10" t="n">
        <x:v>1159.4164805</x:v>
      </x:c>
      <x:c r="D50" s="10" t="n">
        <x:v>225.65505491</x:v>
      </x:c>
      <x:c r="E50" s="10" t="n">
        <x:v>184.66460843000002</x:v>
      </x:c>
      <x:c r="F50" s="10"/>
      <x:c r="G50" s="10" t="n">
        <x:v>773.10152725</x:v>
      </x:c>
      <x:c r="H50" s="10" t="n">
        <x:v>413.37854833999995</x:v>
      </x:c>
      <x:c r="I50" s="19" t="n">
        <x:v>570435</x:v>
      </x:c>
      <x:c r="J50" s="20" t="n">
        <x:v>1355.2841730433793</x:v>
      </x:c>
      <x:c r="K50" s="18" t="n">
        <x:v>0.4653</x:v>
      </x:c>
      <x:c r="L50" s="2" t="str">
        <x:v>R_bmc_2025</x:v>
      </x:c>
      <x:c r="M50" s="2" t="str">
        <x:v>历史股票转增未调整股数；模型EPS另用静态当前股本。分项非纯CGM/PAP/OOP。</x:v>
      </x:c>
      <x:c r="N50" s="2"/>
    </x:row>
    <x:row r="51" ht="23" customHeight="1">
      <x:c r="A51" s="2" t="str">
        <x:v>301367</x:v>
      </x:c>
      <x:c r="B51" s="2" t="str">
        <x:v>2026H1</x:v>
      </x:c>
      <x:c r="C51" s="10" t="n">
        <x:v>762.9974343099999</x:v>
      </x:c>
      <x:c r="D51" s="10" t="n">
        <x:v>126.57827506</x:v>
      </x:c>
      <x:c r="E51" s="10" t="n">
        <x:v>118.36224673000001</x:v>
      </x:c>
      <x:c r="F51" s="10" t="n">
        <x:v>125.284355</x:v>
      </x:c>
      <x:c r="G51" s="10" t="n">
        <x:v>547.1163669299999</x:v>
      </x:c>
      <x:c r="H51" s="10" t="n">
        <x:v>278.31138658</x:v>
      </x:c>
      <x:c r="I51" s="19"/>
      <x:c r="J51" s="20"/>
      <x:c r="K51" s="18" t="n">
        <x:v>0.4913</x:v>
      </x:c>
      <x:c r="L51" s="2" t="str">
        <x:v>R_bmc_2026h1</x:v>
      </x:c>
      <x:c r="M51" s="2" t="str">
        <x:v>历史股票转增未调整股数；模型EPS另用静态当前股本。分项非纯CGM/PAP/OOP。</x:v>
      </x:c>
      <x:c r="N51" s="2"/>
    </x:row>
    <x:row r="52" ht="23" customHeight="1">
      <x:c r="A52" s="2" t="str">
        <x:v>002223</x:v>
      </x:c>
      <x:c r="B52" s="2" t="str">
        <x:v>2023A</x:v>
      </x:c>
      <x:c r="C52" s="10" t="n">
        <x:v>7971.73445247</x:v>
      </x:c>
      <x:c r="D52" s="10" t="n">
        <x:v>2395.8532764899996</x:v>
      </x:c>
      <x:c r="E52" s="10" t="n">
        <x:v>1835.62162425</x:v>
      </x:c>
      <x:c r="F52" s="10"/>
      <x:c r="G52" s="10" t="n">
        <x:v>734.5946998300001</x:v>
      </x:c>
      <x:c r="H52" s="10"/>
      <x:c r="I52" s="19"/>
      <x:c r="J52" s="20"/>
      <x:c r="K52" s="18" t="n">
        <x:v>0.6008</x:v>
      </x:c>
      <x:c r="L52" s="2" t="str">
        <x:v>R_yuyue_2024</x:v>
      </x:c>
      <x:c r="M52" s="2" t="str">
        <x:v>历史股票转增未调整股数；模型EPS另用静态当前股本。分项非纯CGM/PAP/OOP。</x:v>
      </x:c>
      <x:c r="N52" s="2"/>
    </x:row>
    <x:row r="53" ht="23" customHeight="1">
      <x:c r="A53" s="2" t="str">
        <x:v>002223</x:v>
      </x:c>
      <x:c r="B53" s="2" t="str">
        <x:v>2024A</x:v>
      </x:c>
      <x:c r="C53" s="10" t="n">
        <x:v>7565.81901728</x:v>
      </x:c>
      <x:c r="D53" s="10" t="n">
        <x:v>1805.70065526</x:v>
      </x:c>
      <x:c r="E53" s="10" t="n">
        <x:v>1392.83911319</x:v>
      </x:c>
      <x:c r="F53" s="10"/>
      <x:c r="G53" s="10" t="n">
        <x:v>1029.89021241</x:v>
      </x:c>
      <x:c r="H53" s="10" t="n">
        <x:v>400.37065356</x:v>
      </x:c>
      <x:c r="I53" s="19"/>
      <x:c r="J53" s="20"/>
      <x:c r="K53" s="18" t="n">
        <x:v>0.6112</x:v>
      </x:c>
      <x:c r="L53" s="2" t="str">
        <x:v>R_yuyue_2024</x:v>
      </x:c>
      <x:c r="M53" s="2" t="str">
        <x:v>历史股票转增未调整股数；模型EPS另用静态当前股本。分项非纯CGM/PAP/OOP。</x:v>
      </x:c>
      <x:c r="N53" s="2"/>
    </x:row>
    <x:row r="54" ht="23" customHeight="1">
      <x:c r="A54" s="2" t="str">
        <x:v>002223</x:v>
      </x:c>
      <x:c r="B54" s="2" t="str">
        <x:v>2025A</x:v>
      </x:c>
      <x:c r="C54" s="10" t="n">
        <x:v>7955.022614760001</x:v>
      </x:c>
      <x:c r="D54" s="10" t="n">
        <x:v>1481.7948801300001</x:v>
      </x:c>
      <x:c r="E54" s="10" t="n">
        <x:v>1168.61379679</x:v>
      </x:c>
      <x:c r="F54" s="10"/>
      <x:c r="G54" s="10" t="n">
        <x:v>1280.61040562</x:v>
      </x:c>
      <x:c r="H54" s="10" t="n">
        <x:v>532.16879887</x:v>
      </x:c>
      <x:c r="I54" s="19"/>
      <x:c r="J54" s="20"/>
      <x:c r="K54" s="18" t="n">
        <x:v>0.5844</x:v>
      </x:c>
      <x:c r="L54" s="2" t="str">
        <x:v>R_yuyue_2025</x:v>
      </x:c>
      <x:c r="M54" s="2" t="str">
        <x:v>历史股票转增未调整股数；模型EPS另用静态当前股本。分项非纯CGM/PAP/OOP。</x:v>
      </x:c>
      <x:c r="N54" s="2"/>
    </x:row>
    <x:row r="55" ht="23" customHeight="1">
      <x:c r="A55" s="2" t="str">
        <x:v>002223</x:v>
      </x:c>
      <x:c r="B55" s="2" t="str">
        <x:v>2026H1</x:v>
      </x:c>
      <x:c r="C55" s="10" t="n">
        <x:v>4569.31555946</x:v>
      </x:c>
      <x:c r="D55" s="10" t="n">
        <x:v>842.81354632</x:v>
      </x:c>
      <x:c r="E55" s="10" t="n">
        <x:v>761.2270889199999</x:v>
      </x:c>
      <x:c r="F55" s="10" t="n">
        <x:v>1002.476929</x:v>
      </x:c>
      <x:c r="G55" s="10" t="n">
        <x:v>795.43589115</x:v>
      </x:c>
      <x:c r="H55" s="10" t="n">
        <x:v>343.70975983</x:v>
      </x:c>
      <x:c r="I55" s="19"/>
      <x:c r="J55" s="20"/>
      <x:c r="K55" s="18" t="n">
        <x:v>0.5679</x:v>
      </x:c>
      <x:c r="L55" s="2" t="str">
        <x:v>R_yuyue_2026h1</x:v>
      </x:c>
      <x:c r="M55" s="2" t="str">
        <x:v>历史股票转增未调整股数；模型EPS另用静态当前股本。分项非纯CGM/PAP/OOP。</x:v>
      </x:c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5" hidden="0" customWidth="1"/>
    <x:col min="3" max="3" width="20" hidden="0" customWidth="1"/>
    <x:col min="4" max="4" width="32" hidden="0" customWidth="1"/>
    <x:col min="5" max="5" width="95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原始来源与口径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ID</x:v>
      </x:c>
      <x:c r="B5" s="2" t="str">
        <x:v>资料</x:v>
      </x:c>
      <x:c r="C5" s="8" t="str">
        <x:v>性质</x:v>
      </x:c>
      <x:c r="D5" s="9" t="str">
        <x:v>PDF页码</x:v>
      </x:c>
      <x:c r="E5" s="9" t="str">
        <x:v>直接来源URL</x:v>
      </x:c>
      <x:c r="F5" s="9"/>
      <x:c r="G5" s="9"/>
      <x:c r="H5" s="9"/>
      <x:c r="I5" s="2"/>
      <x:c r="J5" s="2"/>
      <x:c r="K5" s="2"/>
      <x:c r="L5" s="2"/>
      <x:c r="M5" s="2"/>
      <x:c r="N5" s="2"/>
    </x:row>
    <x:row r="6" ht="38" customHeight="1">
      <x:c r="A6" s="2" t="str">
        <x:v>I_aibo2023</x:v>
      </x:c>
      <x:c r="B6" s="2" t="str">
        <x:v>aibo2023</x:v>
      </x:c>
      <x:c r="C6" s="10" t="str">
        <x:v>定期报告/公告</x:v>
      </x:c>
      <x:c r="D6" s="17" t="str">
        <x:v>7, 8, 43, 44, 200, 203</x:v>
      </x:c>
      <x:c r="E6" s="15" t="str">
        <x:v>https://static.cninfo.com.cn/finalpage/2024-04-18/1219653622.PDF</x:v>
      </x:c>
      <x:c r="F6" s="10"/>
      <x:c r="G6" s="10"/>
      <x:c r="H6" s="10"/>
      <x:c r="I6" s="2"/>
      <x:c r="J6" s="2"/>
      <x:c r="K6" s="2"/>
      <x:c r="L6" s="2"/>
      <x:c r="M6" s="2"/>
      <x:c r="N6" s="2"/>
    </x:row>
    <x:row r="7" ht="38" customHeight="1">
      <x:c r="A7" s="2" t="str">
        <x:v>I_aibo2024</x:v>
      </x:c>
      <x:c r="B7" s="2" t="str">
        <x:v>aibo2024</x:v>
      </x:c>
      <x:c r="C7" s="10" t="str">
        <x:v>定期报告/公告</x:v>
      </x:c>
      <x:c r="D7" s="17" t="str">
        <x:v>8, 44, 45, 46, 160, 207, 211</x:v>
      </x:c>
      <x:c r="E7" s="15" t="str">
        <x:v>https://static.cninfo.com.cn/finalpage/2025-04-23/1223220611.PDF</x:v>
      </x:c>
      <x:c r="F7" s="10"/>
      <x:c r="G7" s="10"/>
      <x:c r="H7" s="10"/>
      <x:c r="I7" s="2"/>
      <x:c r="J7" s="2"/>
      <x:c r="K7" s="2"/>
      <x:c r="L7" s="2"/>
      <x:c r="M7" s="2"/>
      <x:c r="N7" s="2"/>
    </x:row>
    <x:row r="8" ht="38" customHeight="1">
      <x:c r="A8" s="2" t="str">
        <x:v>I_aibo2025</x:v>
      </x:c>
      <x:c r="B8" s="2" t="str">
        <x:v>aibo2025</x:v>
      </x:c>
      <x:c r="C8" s="10" t="str">
        <x:v>定期报告/公告</x:v>
      </x:c>
      <x:c r="D8" s="17" t="str">
        <x:v>8, 17, 18, 43, 44, 45</x:v>
      </x:c>
      <x:c r="E8" s="15" t="str">
        <x:v>https://static.cninfo.com.cn/finalpage/2026-04-23/1225155925.PDF</x:v>
      </x:c>
      <x:c r="F8" s="10"/>
      <x:c r="G8" s="10"/>
      <x:c r="H8" s="10"/>
      <x:c r="I8" s="2"/>
      <x:c r="J8" s="2"/>
      <x:c r="K8" s="2"/>
      <x:c r="L8" s="2"/>
      <x:c r="M8" s="2"/>
      <x:c r="N8" s="2"/>
    </x:row>
    <x:row r="9" ht="38" customHeight="1">
      <x:c r="A9" s="2" t="str">
        <x:v>I_aibo2025H1</x:v>
      </x:c>
      <x:c r="B9" s="2" t="str">
        <x:v>aibo2025H1</x:v>
      </x:c>
      <x:c r="C9" s="10" t="str">
        <x:v>定期报告/公告</x:v>
      </x:c>
      <x:c r="D9" s="17" t="str">
        <x:v>6, 7, 150, 153</x:v>
      </x:c>
      <x:c r="E9" s="15" t="str">
        <x:v>https://static.cninfo.com.cn/finalpage/2025-08-28/1224600185.PDF</x:v>
      </x:c>
      <x:c r="F9" s="10"/>
      <x:c r="G9" s="10"/>
      <x:c r="H9" s="10"/>
      <x:c r="I9" s="2"/>
      <x:c r="J9" s="2"/>
      <x:c r="K9" s="2"/>
      <x:c r="L9" s="2"/>
      <x:c r="M9" s="2"/>
      <x:c r="N9" s="2"/>
    </x:row>
    <x:row r="10" ht="38" customHeight="1">
      <x:c r="A10" s="2" t="str">
        <x:v>I_aibo2026H1</x:v>
      </x:c>
      <x:c r="B10" s="2" t="str">
        <x:v>aibo2026H1</x:v>
      </x:c>
      <x:c r="C10" s="10" t="str">
        <x:v>定期报告/公告</x:v>
      </x:c>
      <x:c r="D10" s="17" t="str">
        <x:v>6, 7, 17, 45, 49, 142, 143, 149, 152, 155, 157, 163, 168, 174</x:v>
      </x:c>
      <x:c r="E10" s="15" t="str">
        <x:v>https://pdf.dfcfw.com/pdf/H2_AN202608251828427138_1.pdf</x:v>
      </x:c>
      <x:c r="F10" s="10"/>
      <x:c r="G10" s="10"/>
      <x:c r="H10" s="10"/>
      <x:c r="I10" s="2"/>
      <x:c r="J10" s="2"/>
      <x:c r="K10" s="2"/>
      <x:c r="L10" s="2"/>
      <x:c r="M10" s="2"/>
      <x:c r="N10" s="2"/>
    </x:row>
    <x:row r="11" ht="38" customHeight="1">
      <x:c r="A11" s="2" t="str">
        <x:v>I_aiboir20250428</x:v>
      </x:c>
      <x:c r="B11" s="2" t="str">
        <x:v>aiboir20250428</x:v>
      </x:c>
      <x:c r="C11" s="10" t="str">
        <x:v>管理层/招股披露</x:v>
      </x:c>
      <x:c r="D11" s="17" t="str">
        <x:v>6, 7, 8</x:v>
      </x:c>
      <x:c r="E11" s="15" t="str">
        <x:v>https://sns.sseinfo.com/resources/images/upload/202504/202504280955053781922202.pdf</x:v>
      </x:c>
      <x:c r="F11" s="10"/>
      <x:c r="G11" s="10"/>
      <x:c r="H11" s="10"/>
      <x:c r="I11" s="2"/>
      <x:c r="J11" s="2"/>
      <x:c r="K11" s="2"/>
      <x:c r="L11" s="2"/>
      <x:c r="M11" s="2"/>
      <x:c r="N11" s="2"/>
    </x:row>
    <x:row r="12" ht="38" customHeight="1">
      <x:c r="A12" s="2" t="str">
        <x:v>I_aiboir20250829</x:v>
      </x:c>
      <x:c r="B12" s="2" t="str">
        <x:v>aiboir20250829</x:v>
      </x:c>
      <x:c r="C12" s="10" t="str">
        <x:v>管理层/招股披露</x:v>
      </x:c>
      <x:c r="D12" s="17" t="str">
        <x:v>4, 5, 6, 7</x:v>
      </x:c>
      <x:c r="E12" s="15" t="str">
        <x:v>https://pdf.dfcfw.com/pdf/H2_AN202508291736492863_1.pdf</x:v>
      </x:c>
      <x:c r="F12" s="10"/>
      <x:c r="G12" s="10"/>
      <x:c r="H12" s="10"/>
      <x:c r="I12" s="2"/>
      <x:c r="J12" s="2"/>
      <x:c r="K12" s="2"/>
      <x:c r="L12" s="2"/>
      <x:c r="M12" s="2"/>
      <x:c r="N12" s="2"/>
    </x:row>
    <x:row r="13" ht="38" customHeight="1">
      <x:c r="A13" s="2" t="str">
        <x:v>I_aiboir20260430</x:v>
      </x:c>
      <x:c r="B13" s="2" t="str">
        <x:v>aiboir20260430</x:v>
      </x:c>
      <x:c r="C13" s="10" t="str">
        <x:v>管理层/招股披露</x:v>
      </x:c>
      <x:c r="D13" s="17" t="str">
        <x:v>4, 5, 6</x:v>
      </x:c>
      <x:c r="E13" s="15" t="str">
        <x:v>https://file.finance.sina.com.cn/cn/diaoyan/jgdy/2026/2026-04/2026-04-30/10178698_1.pdf</x:v>
      </x:c>
      <x:c r="F13" s="10"/>
      <x:c r="G13" s="10"/>
      <x:c r="H13" s="10"/>
      <x:c r="I13" s="2"/>
      <x:c r="J13" s="2"/>
      <x:c r="K13" s="2"/>
      <x:c r="L13" s="2"/>
      <x:c r="M13" s="2"/>
      <x:c r="N13" s="2"/>
    </x:row>
    <x:row r="14" ht="38" customHeight="1">
      <x:c r="A14" s="2" t="str">
        <x:v>I_aiboir20260831</x:v>
      </x:c>
      <x:c r="B14" s="2" t="str">
        <x:v>aiboir20260831</x:v>
      </x:c>
      <x:c r="C14" s="10" t="str">
        <x:v>管理层/招股披露</x:v>
      </x:c>
      <x:c r="D14" s="17" t="str">
        <x:v>5, 6, 8, 9</x:v>
      </x:c>
      <x:c r="E14" s="15" t="str">
        <x:v>https://pdf.dfcfw.com/pdf/H2_AN202608311828807701_1.pdf</x:v>
      </x:c>
      <x:c r="F14" s="10"/>
      <x:c r="G14" s="10"/>
      <x:c r="H14" s="10"/>
      <x:c r="I14" s="2"/>
      <x:c r="J14" s="2"/>
      <x:c r="K14" s="2"/>
      <x:c r="L14" s="2"/>
      <x:c r="M14" s="2"/>
      <x:c r="N14" s="2"/>
    </x:row>
    <x:row r="15" ht="38" customHeight="1">
      <x:c r="A15" s="2" t="str">
        <x:v>I_demeiDeal</x:v>
      </x:c>
      <x:c r="B15" s="2" t="str">
        <x:v>demeiDeal</x:v>
      </x:c>
      <x:c r="C15" s="10" t="str">
        <x:v>定期报告/公告</x:v>
      </x:c>
      <x:c r="D15" s="17" t="str">
        <x:v>1, 2, 12, 17, 19, 20, 24, 25, 26</x:v>
      </x:c>
      <x:c r="E15" s="15" t="str">
        <x:v>https://static.cninfo.com.cn/finalpage/2026-02-26/1224984651.PDF</x:v>
      </x:c>
      <x:c r="F15" s="10"/>
      <x:c r="G15" s="10"/>
      <x:c r="H15" s="10"/>
      <x:c r="I15" s="2"/>
      <x:c r="J15" s="2"/>
      <x:c r="K15" s="2"/>
      <x:c r="L15" s="2"/>
      <x:c r="M15" s="2"/>
      <x:c r="N15" s="2"/>
    </x:row>
    <x:row r="16" ht="38" customHeight="1">
      <x:c r="A16" s="2" t="str">
        <x:v>I_aier2023</x:v>
      </x:c>
      <x:c r="B16" s="2" t="str">
        <x:v>aier2023</x:v>
      </x:c>
      <x:c r="C16" s="10" t="str">
        <x:v>定期报告/公告</x:v>
      </x:c>
      <x:c r="D16" s="17" t="str">
        <x:v>14, 33, 35, 267</x:v>
      </x:c>
      <x:c r="E16" s="15" t="str">
        <x:v>https://static.cninfo.com.cn/finalpage/2024-04-26/1219826392.PDF</x:v>
      </x:c>
      <x:c r="F16" s="10"/>
      <x:c r="G16" s="10"/>
      <x:c r="H16" s="10"/>
      <x:c r="I16" s="2"/>
      <x:c r="J16" s="2"/>
      <x:c r="K16" s="2"/>
      <x:c r="L16" s="2"/>
      <x:c r="M16" s="2"/>
      <x:c r="N16" s="2"/>
    </x:row>
    <x:row r="17" ht="38" customHeight="1">
      <x:c r="A17" s="2" t="str">
        <x:v>I_aier2024</x:v>
      </x:c>
      <x:c r="B17" s="2" t="str">
        <x:v>aier2024</x:v>
      </x:c>
      <x:c r="C17" s="10" t="str">
        <x:v>定期报告/公告</x:v>
      </x:c>
      <x:c r="D17" s="17" t="str">
        <x:v>31, 32, 302</x:v>
      </x:c>
      <x:c r="E17" s="15" t="str">
        <x:v>https://disc.static.szse.cn/download/disc/disk03/finalpage/2025-04-24/e9b9700f-a6dc-44f6-80e9-3d9fbcf33ccf.PDF</x:v>
      </x:c>
      <x:c r="F17" s="10"/>
      <x:c r="G17" s="10"/>
      <x:c r="H17" s="10"/>
      <x:c r="I17" s="2"/>
      <x:c r="J17" s="2"/>
      <x:c r="K17" s="2"/>
      <x:c r="L17" s="2"/>
      <x:c r="M17" s="2"/>
      <x:c r="N17" s="2"/>
    </x:row>
    <x:row r="18" ht="38" customHeight="1">
      <x:c r="A18" s="2" t="str">
        <x:v>I_aier2025</x:v>
      </x:c>
      <x:c r="B18" s="2" t="str">
        <x:v>aier2025</x:v>
      </x:c>
      <x:c r="C18" s="10" t="str">
        <x:v>定期报告/公告</x:v>
      </x:c>
      <x:c r="D18" s="17" t="str">
        <x:v>19, 35, 36, 329</x:v>
      </x:c>
      <x:c r="E18" s="15" t="str">
        <x:v>https://static.cninfo.com.cn/finalpage/2026-04-24/1225174505.PDF</x:v>
      </x:c>
      <x:c r="F18" s="10"/>
      <x:c r="G18" s="10"/>
      <x:c r="H18" s="10"/>
      <x:c r="I18" s="2"/>
      <x:c r="J18" s="2"/>
      <x:c r="K18" s="2"/>
      <x:c r="L18" s="2"/>
      <x:c r="M18" s="2"/>
      <x:c r="N18" s="2"/>
    </x:row>
    <x:row r="19" ht="38" customHeight="1">
      <x:c r="A19" s="2" t="str">
        <x:v>I_aier2025H1</x:v>
      </x:c>
      <x:c r="B19" s="2" t="str">
        <x:v>aier2025H1</x:v>
      </x:c>
      <x:c r="C19" s="10" t="str">
        <x:v>定期报告/公告</x:v>
      </x:c>
      <x:c r="D19" s="17" t="str">
        <x:v>16, 17, 30, 206</x:v>
      </x:c>
      <x:c r="E19" s="15" t="str">
        <x:v>https://static.cninfo.com.cn/finalpage/2025-08-27/1224582918.PDF</x:v>
      </x:c>
      <x:c r="F19" s="10"/>
      <x:c r="G19" s="10"/>
      <x:c r="H19" s="10"/>
      <x:c r="I19" s="2"/>
      <x:c r="J19" s="2"/>
      <x:c r="K19" s="2"/>
      <x:c r="L19" s="2"/>
      <x:c r="M19" s="2"/>
      <x:c r="N19" s="2"/>
    </x:row>
    <x:row r="20" ht="38" customHeight="1">
      <x:c r="A20" s="2" t="str">
        <x:v>I_aier2026H1</x:v>
      </x:c>
      <x:c r="B20" s="2" t="str">
        <x:v>aier2026H1</x:v>
      </x:c>
      <x:c r="C20" s="10" t="str">
        <x:v>定期报告/公告</x:v>
      </x:c>
      <x:c r="D20" s="17" t="str">
        <x:v>18, 19, 33, 204</x:v>
      </x:c>
      <x:c r="E20" s="15" t="str">
        <x:v>https://static.cninfo.com.cn/finalpage/2026-08-28/1225519615.PDF</x:v>
      </x:c>
      <x:c r="F20" s="10"/>
      <x:c r="G20" s="10"/>
      <x:c r="H20" s="10"/>
      <x:c r="I20" s="2"/>
      <x:c r="J20" s="2"/>
      <x:c r="K20" s="2"/>
      <x:c r="L20" s="2"/>
      <x:c r="M20" s="2"/>
      <x:c r="N20" s="2"/>
    </x:row>
    <x:row r="21" ht="38" customHeight="1">
      <x:c r="A21" s="2" t="str">
        <x:v>I_zhifei2024</x:v>
      </x:c>
      <x:c r="B21" s="2" t="str">
        <x:v>zhifei2024</x:v>
      </x:c>
      <x:c r="C21" s="10" t="str">
        <x:v>定期报告/公告</x:v>
      </x:c>
      <x:c r="D21" s="17" t="str">
        <x:v>30</x:v>
      </x:c>
      <x:c r="E21" s="15" t="str">
        <x:v>https://static.cninfo.com.cn/finalpage/2025-04-22/1223198200.PDF</x:v>
      </x:c>
      <x:c r="F21" s="10"/>
      <x:c r="G21" s="10"/>
      <x:c r="H21" s="10"/>
      <x:c r="I21" s="2"/>
      <x:c r="J21" s="2"/>
      <x:c r="K21" s="2"/>
      <x:c r="L21" s="2"/>
      <x:c r="M21" s="2"/>
      <x:c r="N21" s="2"/>
    </x:row>
    <x:row r="22" ht="38" customHeight="1">
      <x:c r="A22" s="2" t="str">
        <x:v>I_zhifei2025</x:v>
      </x:c>
      <x:c r="B22" s="2" t="str">
        <x:v>zhifei2025</x:v>
      </x:c>
      <x:c r="C22" s="10" t="str">
        <x:v>定期报告/公告</x:v>
      </x:c>
      <x:c r="D22" s="17" t="str">
        <x:v>13, 24, 37</x:v>
      </x:c>
      <x:c r="E22" s="15" t="str">
        <x:v>https://static.cninfo.com.cn/finalpage/2026-04-28/1225212822.pdf</x:v>
      </x:c>
      <x:c r="F22" s="10"/>
      <x:c r="G22" s="10"/>
      <x:c r="H22" s="10"/>
      <x:c r="I22" s="2"/>
      <x:c r="J22" s="2"/>
      <x:c r="K22" s="2"/>
      <x:c r="L22" s="2"/>
      <x:c r="M22" s="2"/>
      <x:c r="N22" s="2"/>
    </x:row>
    <x:row r="23" ht="38" customHeight="1">
      <x:c r="A23" s="2" t="str">
        <x:v>I_zhifei2026H1</x:v>
      </x:c>
      <x:c r="B23" s="2" t="str">
        <x:v>zhifei2026H1</x:v>
      </x:c>
      <x:c r="C23" s="10" t="str">
        <x:v>定期报告/公告</x:v>
      </x:c>
      <x:c r="D23" s="17" t="str">
        <x:v>9, 17, 18, 29</x:v>
      </x:c>
      <x:c r="E23" s="15" t="str">
        <x:v>https://disc.static.szse.cn/disc/disk03/finalpage/2026-08-29/22d21542-9347-4c3a-81c0-915f75b91062.PDF</x:v>
      </x:c>
      <x:c r="F23" s="10"/>
      <x:c r="G23" s="10"/>
      <x:c r="H23" s="10"/>
      <x:c r="I23" s="2"/>
      <x:c r="J23" s="2"/>
      <x:c r="K23" s="2"/>
      <x:c r="L23" s="2"/>
      <x:c r="M23" s="2"/>
      <x:c r="N23" s="2"/>
    </x:row>
    <x:row r="24" ht="38" customHeight="1">
      <x:c r="A24" s="2" t="str">
        <x:v>I_baike2023</x:v>
      </x:c>
      <x:c r="B24" s="2" t="str">
        <x:v>baike2023</x:v>
      </x:c>
      <x:c r="C24" s="10" t="str">
        <x:v>定期报告/公告</x:v>
      </x:c>
      <x:c r="D24" s="17" t="str">
        <x:v>27</x:v>
      </x:c>
      <x:c r="E24" s="15" t="str">
        <x:v>https://static.cninfo.com.cn/finalpage/2024-03-20/1219345753.PDF</x:v>
      </x:c>
      <x:c r="F24" s="10"/>
      <x:c r="G24" s="10"/>
      <x:c r="H24" s="10"/>
      <x:c r="I24" s="2"/>
      <x:c r="J24" s="2"/>
      <x:c r="K24" s="2"/>
      <x:c r="L24" s="2"/>
      <x:c r="M24" s="2"/>
      <x:c r="N24" s="2"/>
    </x:row>
    <x:row r="25" ht="38" customHeight="1">
      <x:c r="A25" s="2" t="str">
        <x:v>I_baike2024</x:v>
      </x:c>
      <x:c r="B25" s="2" t="str">
        <x:v>baike2024</x:v>
      </x:c>
      <x:c r="C25" s="10" t="str">
        <x:v>定期报告/公告</x:v>
      </x:c>
      <x:c r="D25" s="17" t="str">
        <x:v>34, 35</x:v>
      </x:c>
      <x:c r="E25" s="15" t="str">
        <x:v>https://static.cninfo.com.cn/finalpage/2025-04-21/1223174911.PDF</x:v>
      </x:c>
      <x:c r="F25" s="10"/>
      <x:c r="G25" s="10"/>
      <x:c r="H25" s="10"/>
      <x:c r="I25" s="2"/>
      <x:c r="J25" s="2"/>
      <x:c r="K25" s="2"/>
      <x:c r="L25" s="2"/>
      <x:c r="M25" s="2"/>
      <x:c r="N25" s="2"/>
    </x:row>
    <x:row r="26" ht="38" customHeight="1">
      <x:c r="A26" s="2" t="str">
        <x:v>I_baike2025</x:v>
      </x:c>
      <x:c r="B26" s="2" t="str">
        <x:v>baike2025</x:v>
      </x:c>
      <x:c r="C26" s="10" t="str">
        <x:v>定期报告/公告</x:v>
      </x:c>
      <x:c r="D26" s="17" t="str">
        <x:v>1, 2, 37, 38, 39</x:v>
      </x:c>
      <x:c r="E26" s="15" t="str">
        <x:v>https://static.cninfo.com.cn/finalpage/2026-04-22/1225142244.PDF</x:v>
      </x:c>
      <x:c r="F26" s="10"/>
      <x:c r="G26" s="10"/>
      <x:c r="H26" s="10"/>
      <x:c r="I26" s="2"/>
      <x:c r="J26" s="2"/>
      <x:c r="K26" s="2"/>
      <x:c r="L26" s="2"/>
      <x:c r="M26" s="2"/>
      <x:c r="N26" s="2"/>
    </x:row>
    <x:row r="27" ht="38" customHeight="1">
      <x:c r="A27" s="2" t="str">
        <x:v>I_baike2026H1</x:v>
      </x:c>
      <x:c r="B27" s="2" t="str">
        <x:v>baike2026H1</x:v>
      </x:c>
      <x:c r="C27" s="10" t="str">
        <x:v>定期报告/公告</x:v>
      </x:c>
      <x:c r="D27" s="17" t="str">
        <x:v>9, 16</x:v>
      </x:c>
      <x:c r="E27" s="15" t="str">
        <x:v>https://static.cninfo.com.cn/finalpage/2026-08-21/1225487308.PDF</x:v>
      </x:c>
      <x:c r="F27" s="10"/>
      <x:c r="G27" s="10"/>
      <x:c r="H27" s="10"/>
      <x:c r="I27" s="2"/>
      <x:c r="J27" s="2"/>
      <x:c r="K27" s="2"/>
      <x:c r="L27" s="2"/>
      <x:c r="M27" s="2"/>
      <x:c r="N27" s="2"/>
    </x:row>
    <x:row r="28" ht="38" customHeight="1">
      <x:c r="A28" s="2" t="str">
        <x:v>I_aier20261020</x:v>
      </x:c>
      <x:c r="B28" s="2" t="str">
        <x:v>aier20261020</x:v>
      </x:c>
      <x:c r="C28" s="10" t="str">
        <x:v>定期报告/公告</x:v>
      </x:c>
      <x:c r="D28" s="17" t="str">
        <x:v>1, 2</x:v>
      </x:c>
      <x:c r="E28" s="15" t="str">
        <x:v>https://static.cninfo.com.cn/finalpage/2026-10-20/1225611896.PDF</x:v>
      </x:c>
      <x:c r="F28" s="10"/>
      <x:c r="G28" s="10"/>
      <x:c r="H28" s="10"/>
      <x:c r="I28" s="2"/>
      <x:c r="J28" s="2"/>
      <x:c r="K28" s="2"/>
      <x:c r="L28" s="2"/>
      <x:c r="M28" s="2"/>
      <x:c r="N28" s="2"/>
    </x:row>
    <x:row r="29" ht="38" customHeight="1">
      <x:c r="A29" s="2" t="str">
        <x:v>S_cofoe_2025</x:v>
      </x:c>
      <x:c r="B29" s="2" t="str">
        <x:v>cofoe_2025</x:v>
      </x:c>
      <x:c r="C29" s="10" t="str">
        <x:v>定期报告/公告</x:v>
      </x:c>
      <x:c r="D29" s="17" t="str">
        <x:v>7, 21, 24</x:v>
      </x:c>
      <x:c r="E29" s="15" t="str">
        <x:v>https://disc.static.szse.cn/disc/disk03/finalpage/2026-03-10/e4176cba-af66-4574-a959-d8ef30cba367.PDF</x:v>
      </x:c>
      <x:c r="F29" s="10"/>
      <x:c r="G29" s="10"/>
      <x:c r="H29" s="10"/>
      <x:c r="I29" s="2"/>
      <x:c r="J29" s="2"/>
      <x:c r="K29" s="2"/>
      <x:c r="L29" s="2"/>
      <x:c r="M29" s="2"/>
      <x:c r="N29" s="2"/>
    </x:row>
    <x:row r="30" ht="38" customHeight="1">
      <x:c r="A30" s="2" t="str">
        <x:v>S_cofoe_2024</x:v>
      </x:c>
      <x:c r="B30" s="2" t="str">
        <x:v>cofoe_2024</x:v>
      </x:c>
      <x:c r="C30" s="10" t="str">
        <x:v>定期报告/公告</x:v>
      </x:c>
      <x:c r="D30" s="17" t="str">
        <x:v>7, 20, 21</x:v>
      </x:c>
      <x:c r="E30" s="15" t="str">
        <x:v>https://www.cofoe.com.cn/uploads/image/20250430/68118af71ac14.pdf</x:v>
      </x:c>
      <x:c r="F30" s="10"/>
      <x:c r="G30" s="10"/>
      <x:c r="H30" s="10"/>
      <x:c r="I30" s="2"/>
      <x:c r="J30" s="2"/>
      <x:c r="K30" s="2"/>
      <x:c r="L30" s="2"/>
      <x:c r="M30" s="2"/>
      <x:c r="N30" s="2"/>
    </x:row>
    <x:row r="31" ht="38" customHeight="1">
      <x:c r="A31" s="2" t="str">
        <x:v>S_cofoe_2026h1</x:v>
      </x:c>
      <x:c r="B31" s="2" t="str">
        <x:v>cofoe_2026h1</x:v>
      </x:c>
      <x:c r="C31" s="10" t="str">
        <x:v>定期报告/公告</x:v>
      </x:c>
      <x:c r="D31" s="17" t="str">
        <x:v>7, 20, 23, 36, 38, 39, 40, 41, 42, 45, 109, 110, 123</x:v>
      </x:c>
      <x:c r="E31" s="15" t="str">
        <x:v>https://static.cninfo.com.cn/finalpage/2026-08-29/1225525768.PDF</x:v>
      </x:c>
      <x:c r="F31" s="10"/>
      <x:c r="G31" s="10"/>
      <x:c r="H31" s="10"/>
      <x:c r="I31" s="2"/>
      <x:c r="J31" s="2"/>
      <x:c r="K31" s="2"/>
      <x:c r="L31" s="2"/>
      <x:c r="M31" s="2"/>
      <x:c r="N31" s="2"/>
    </x:row>
    <x:row r="32" ht="38" customHeight="1">
      <x:c r="A32" s="2" t="str">
        <x:v>S_cofoe_hk</x:v>
      </x:c>
      <x:c r="B32" s="2" t="str">
        <x:v>cofoe_hk</x:v>
      </x:c>
      <x:c r="C32" s="10" t="str">
        <x:v>管理层/招股披露</x:v>
      </x:c>
      <x:c r="D32" s="17" t="str">
        <x:v>122, 123, 124, 132, 133, 134</x:v>
      </x:c>
      <x:c r="E32" s="15" t="str">
        <x:v>https://www1.hkexnews.hk/listedco/listconews/sehk/2026/0427/2026042700013.pdf</x:v>
      </x:c>
      <x:c r="F32" s="10"/>
      <x:c r="G32" s="10"/>
      <x:c r="H32" s="10"/>
      <x:c r="I32" s="2"/>
      <x:c r="J32" s="2"/>
      <x:c r="K32" s="2"/>
      <x:c r="L32" s="2"/>
      <x:c r="M32" s="2"/>
      <x:c r="N32" s="2"/>
    </x:row>
    <x:row r="33" ht="38" customHeight="1">
      <x:c r="A33" s="2" t="str">
        <x:v>S_cofoe_ir_20250515</x:v>
      </x:c>
      <x:c r="B33" s="2" t="str">
        <x:v>cofoe_ir_20250515</x:v>
      </x:c>
      <x:c r="C33" s="10" t="str">
        <x:v>管理层/招股披露</x:v>
      </x:c>
      <x:c r="D33" s="17" t="str">
        <x:v>2</x:v>
      </x:c>
      <x:c r="E33" s="15" t="str">
        <x:v>https://file.finance.sina.com.cn/211.154.219.97:9494/MRGG/CNSESZ_STOCK/2025/2025-5/2025-05-17/11119691.PDF</x:v>
      </x:c>
      <x:c r="F33" s="10"/>
      <x:c r="G33" s="10"/>
      <x:c r="H33" s="10"/>
      <x:c r="I33" s="2"/>
      <x:c r="J33" s="2"/>
      <x:c r="K33" s="2"/>
      <x:c r="L33" s="2"/>
      <x:c r="M33" s="2"/>
      <x:c r="N33" s="2"/>
    </x:row>
    <x:row r="34" ht="38" customHeight="1">
      <x:c r="A34" s="2" t="str">
        <x:v>S_cofoe_ir_20260828</x:v>
      </x:c>
      <x:c r="B34" s="2" t="str">
        <x:v>cofoe_ir_20260828</x:v>
      </x:c>
      <x:c r="C34" s="10" t="str">
        <x:v>管理层/招股披露</x:v>
      </x:c>
      <x:c r="D34" s="17" t="str">
        <x:v>2, 3</x:v>
      </x:c>
      <x:c r="E34" s="15" t="str">
        <x:v>https://www.cofoe.com.cn/uploads/image/20260905/6a9b6b7a39ca7.pdf</x:v>
      </x:c>
      <x:c r="F34" s="10"/>
      <x:c r="G34" s="10"/>
      <x:c r="H34" s="10"/>
      <x:c r="I34" s="2"/>
      <x:c r="J34" s="2"/>
      <x:c r="K34" s="2"/>
      <x:c r="L34" s="2"/>
      <x:c r="M34" s="2"/>
      <x:c r="N34" s="2"/>
    </x:row>
    <x:row r="35" ht="38" customHeight="1">
      <x:c r="A35" s="2" t="str">
        <x:v>S_mingyue_2025</x:v>
      </x:c>
      <x:c r="B35" s="2" t="str">
        <x:v>mingyue_2025</x:v>
      </x:c>
      <x:c r="C35" s="10" t="str">
        <x:v>定期报告/公告</x:v>
      </x:c>
      <x:c r="D35" s="17" t="str">
        <x:v>7, 22</x:v>
      </x:c>
      <x:c r="E35" s="15" t="str">
        <x:v>https://static.cninfo.com.cn/finalpage/2026-04-23/1225149244.PDF</x:v>
      </x:c>
      <x:c r="F35" s="10"/>
      <x:c r="G35" s="10"/>
      <x:c r="H35" s="10"/>
      <x:c r="I35" s="2"/>
      <x:c r="J35" s="2"/>
      <x:c r="K35" s="2"/>
      <x:c r="L35" s="2"/>
      <x:c r="M35" s="2"/>
      <x:c r="N35" s="2"/>
    </x:row>
    <x:row r="36" ht="38" customHeight="1">
      <x:c r="A36" s="2" t="str">
        <x:v>S_mingyue_2024</x:v>
      </x:c>
      <x:c r="B36" s="2" t="str">
        <x:v>mingyue_2024</x:v>
      </x:c>
      <x:c r="C36" s="10" t="str">
        <x:v>定期报告/公告</x:v>
      </x:c>
      <x:c r="D36" s="17" t="str">
        <x:v>21</x:v>
      </x:c>
      <x:c r="E36" s="15" t="str">
        <x:v>https://pdf.dfcfw.com/pdf/H2_AN202504171657933231_1.pdf</x:v>
      </x:c>
      <x:c r="F36" s="10"/>
      <x:c r="G36" s="10"/>
      <x:c r="H36" s="10"/>
      <x:c r="I36" s="2"/>
      <x:c r="J36" s="2"/>
      <x:c r="K36" s="2"/>
      <x:c r="L36" s="2"/>
      <x:c r="M36" s="2"/>
      <x:c r="N36" s="2"/>
    </x:row>
    <x:row r="37" ht="38" customHeight="1">
      <x:c r="A37" s="2" t="str">
        <x:v>S_mingyue_2026h1</x:v>
      </x:c>
      <x:c r="B37" s="2" t="str">
        <x:v>mingyue_2026h1</x:v>
      </x:c>
      <x:c r="C37" s="10" t="str">
        <x:v>定期报告/公告</x:v>
      </x:c>
      <x:c r="D37" s="17" t="str">
        <x:v>7, 9, 10, 16, 19, 37, 38</x:v>
      </x:c>
      <x:c r="E37" s="15" t="str">
        <x:v>https://file.finance.sina.com.cn/211.154.219.97:9494/MRGG/CNSESZ_STOCK/2026/2026-8/2026-08-25/12522660.PDF</x:v>
      </x:c>
      <x:c r="F37" s="10"/>
      <x:c r="G37" s="10"/>
      <x:c r="H37" s="10"/>
      <x:c r="I37" s="2"/>
      <x:c r="J37" s="2"/>
      <x:c r="K37" s="2"/>
      <x:c r="L37" s="2"/>
      <x:c r="M37" s="2"/>
      <x:c r="N37" s="2"/>
    </x:row>
    <x:row r="38" ht="38" customHeight="1">
      <x:c r="A38" s="2" t="str">
        <x:v>S_mingyue_ir_20260826</x:v>
      </x:c>
      <x:c r="B38" s="2" t="str">
        <x:v>mingyue_ir_20260826</x:v>
      </x:c>
      <x:c r="C38" s="10" t="str">
        <x:v>管理层/招股披露</x:v>
      </x:c>
      <x:c r="D38" s="17" t="str">
        <x:v>1, 2, 3</x:v>
      </x:c>
      <x:c r="E38" s="15" t="str">
        <x:v>https://file.finance.sina.com.cn/211.154.219.97:9494/MRGG/CNSESZ_STOCK/2026/2026-8/2026-08-26/12540579.PDF</x:v>
      </x:c>
      <x:c r="F38" s="10"/>
      <x:c r="G38" s="10"/>
      <x:c r="H38" s="10"/>
      <x:c r="I38" s="2"/>
      <x:c r="J38" s="2"/>
      <x:c r="K38" s="2"/>
      <x:c r="L38" s="2"/>
      <x:c r="M38" s="2"/>
      <x:c r="N38" s="2"/>
    </x:row>
    <x:row r="39" ht="38" customHeight="1">
      <x:c r="A39" s="2" t="str">
        <x:v>S_mingyue_grant_20260713</x:v>
      </x:c>
      <x:c r="B39" s="2" t="str">
        <x:v>mingyue_grant_20260713</x:v>
      </x:c>
      <x:c r="C39" s="10" t="str">
        <x:v>定期报告/公告</x:v>
      </x:c>
      <x:c r="D39" s="17" t="str">
        <x:v>1</x:v>
      </x:c>
      <x:c r="E39" s="15" t="str">
        <x:v>https://disc.static.szse.cn/download/disc/disk03/finalpage/2026-07-13/6031480b-1852-42d2-94b4-2f6a4e1926d0.PDF</x:v>
      </x:c>
      <x:c r="F39" s="10"/>
      <x:c r="G39" s="10"/>
      <x:c r="H39" s="10"/>
      <x:c r="I39" s="2"/>
      <x:c r="J39" s="2"/>
      <x:c r="K39" s="2"/>
      <x:c r="L39" s="2"/>
      <x:c r="M39" s="2"/>
      <x:c r="N39" s="2"/>
    </x:row>
    <x:row r="40" ht="38" customHeight="1">
      <x:c r="A40" s="2" t="str">
        <x:v>S_allgens_2025</x:v>
      </x:c>
      <x:c r="B40" s="2" t="str">
        <x:v>allgens_2025</x:v>
      </x:c>
      <x:c r="C40" s="10" t="str">
        <x:v>定期报告/公告</x:v>
      </x:c>
      <x:c r="D40" s="17" t="str">
        <x:v>7, 30, 31</x:v>
      </x:c>
      <x:c r="E40" s="15" t="str">
        <x:v>https://file.finance.sina.com.cn/211.154.219.97:9494/MRGG/CNSESH_STOCK/2026/2026-7/2026-07-22/12457135.PDF</x:v>
      </x:c>
      <x:c r="F40" s="10"/>
      <x:c r="G40" s="10"/>
      <x:c r="H40" s="10"/>
      <x:c r="I40" s="2"/>
      <x:c r="J40" s="2"/>
      <x:c r="K40" s="2"/>
      <x:c r="L40" s="2"/>
      <x:c r="M40" s="2"/>
      <x:c r="N40" s="2"/>
    </x:row>
    <x:row r="41" ht="38" customHeight="1">
      <x:c r="A41" s="2" t="str">
        <x:v>S_allgens_2026h1</x:v>
      </x:c>
      <x:c r="B41" s="2" t="str">
        <x:v>allgens_2026h1</x:v>
      </x:c>
      <x:c r="C41" s="10" t="str">
        <x:v>定期报告/公告</x:v>
      </x:c>
      <x:c r="D41" s="17" t="str">
        <x:v>6, 19, 48, 128, 47, 125</x:v>
      </x:c>
      <x:c r="E41" s="15" t="str">
        <x:v>https://file.finance.sina.com.cn/211.154.219.97:9494/MRGG/CNSESH_STOCK/2026/2026-8/2026-08-29/12573291.PDF</x:v>
      </x:c>
      <x:c r="F41" s="10"/>
      <x:c r="G41" s="10"/>
      <x:c r="H41" s="10"/>
      <x:c r="I41" s="2"/>
      <x:c r="J41" s="2"/>
      <x:c r="K41" s="2"/>
      <x:c r="L41" s="2"/>
      <x:c r="M41" s="2"/>
      <x:c r="N41" s="2"/>
    </x:row>
    <x:row r="42" ht="38" customHeight="1">
      <x:c r="A42" s="2" t="str">
        <x:v>S_allgens_reply_20260722</x:v>
      </x:c>
      <x:c r="B42" s="2" t="str">
        <x:v>allgens_reply_20260722</x:v>
      </x:c>
      <x:c r="C42" s="10" t="str">
        <x:v>定期报告/公告</x:v>
      </x:c>
      <x:c r="D42" s="17" t="str">
        <x:v>7, 8, 9, 13, 16, 17, 20, 21</x:v>
      </x:c>
      <x:c r="E42" s="15" t="str">
        <x:v>https://file.finance.sina.com.cn/211.154.219.97:9494/MRGG/CNSESH_STOCK/2026/2026-7/2026-07-22/12457133.PDF</x:v>
      </x:c>
      <x:c r="F42" s="10"/>
      <x:c r="G42" s="10"/>
      <x:c r="H42" s="10"/>
      <x:c r="I42" s="2"/>
      <x:c r="J42" s="2"/>
      <x:c r="K42" s="2"/>
      <x:c r="L42" s="2"/>
      <x:c r="M42" s="2"/>
      <x:c r="N42" s="2"/>
    </x:row>
    <x:row r="43" ht="38" customHeight="1">
      <x:c r="A43" s="2" t="str">
        <x:v>S_allgens_control_20260725</x:v>
      </x:c>
      <x:c r="B43" s="2" t="str">
        <x:v>allgens_control_20260725</x:v>
      </x:c>
      <x:c r="C43" s="10" t="str">
        <x:v>定期报告/公告</x:v>
      </x:c>
      <x:c r="D43" s="17" t="str">
        <x:v>1, 2, 3, 4, 5, 6</x:v>
      </x:c>
      <x:c r="E43" s="15" t="str">
        <x:v>https://file.finance.sina.com.cn/211.154.219.97:9494/MRGG/CNSESH_STOCK/2026/2026-7/2026-07-25/12461879.PDF</x:v>
      </x:c>
      <x:c r="F43" s="10"/>
      <x:c r="G43" s="10"/>
      <x:c r="H43" s="10"/>
      <x:c r="I43" s="2"/>
      <x:c r="J43" s="2"/>
      <x:c r="K43" s="2"/>
      <x:c r="L43" s="2"/>
      <x:c r="M43" s="2"/>
      <x:c r="N43" s="2"/>
    </x:row>
    <x:row r="44" ht="38" customHeight="1">
      <x:c r="A44" s="2" t="str">
        <x:v>S_doctor_2025</x:v>
      </x:c>
      <x:c r="B44" s="2" t="str">
        <x:v>doctor_2025</x:v>
      </x:c>
      <x:c r="C44" s="10" t="str">
        <x:v>定期报告/公告</x:v>
      </x:c>
      <x:c r="D44" s="17" t="str">
        <x:v>8, 15, 25, 27, 28</x:v>
      </x:c>
      <x:c r="E44" s="15" t="str">
        <x:v>https://static.cninfo.com.cn/finalpage/2026-04-28/1225198975.PDF</x:v>
      </x:c>
      <x:c r="F44" s="10"/>
      <x:c r="G44" s="10"/>
      <x:c r="H44" s="10"/>
      <x:c r="I44" s="2"/>
      <x:c r="J44" s="2"/>
      <x:c r="K44" s="2"/>
      <x:c r="L44" s="2"/>
      <x:c r="M44" s="2"/>
      <x:c r="N44" s="2"/>
    </x:row>
    <x:row r="45" ht="38" customHeight="1">
      <x:c r="A45" s="2" t="str">
        <x:v>S_doctor_2026h1</x:v>
      </x:c>
      <x:c r="B45" s="2" t="str">
        <x:v>doctor_2026h1</x:v>
      </x:c>
      <x:c r="C45" s="10" t="str">
        <x:v>定期报告/公告</x:v>
      </x:c>
      <x:c r="D45" s="17" t="str">
        <x:v>8, 21, 48, 50, 51</x:v>
      </x:c>
      <x:c r="E45" s="15" t="str">
        <x:v>https://file.finance.sina.com.cn/211.154.219.97:9494/MRGG/CNSESZ_STOCK/2026/2026-8/2026-08-28/12558636.PDF</x:v>
      </x:c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38" customHeight="1">
      <x:c r="A46" s="2" t="str">
        <x:v>S_doctor_ir_20260831</x:v>
      </x:c>
      <x:c r="B46" s="2" t="str">
        <x:v>doctor_ir_20260831</x:v>
      </x:c>
      <x:c r="C46" s="10" t="str">
        <x:v>管理层/招股披露</x:v>
      </x:c>
      <x:c r="D46" s="17" t="str">
        <x:v>3, 4</x:v>
      </x:c>
      <x:c r="E46" s="15" t="str">
        <x:v>https://file.finance.sina.com.cn/211.154.219.97:9494/MRGG/CNSESZ_STOCK/2026/2026-8/2026-08-31/12576992.PDF</x:v>
      </x:c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38" customHeight="1">
      <x:c r="A47" s="2" t="str">
        <x:v>S_doctor_cb_20261008</x:v>
      </x:c>
      <x:c r="B47" s="2" t="str">
        <x:v>doctor_cb_20261008</x:v>
      </x:c>
      <x:c r="C47" s="10" t="str">
        <x:v>定期报告/公告</x:v>
      </x:c>
      <x:c r="D47" s="17" t="str">
        <x:v>3</x:v>
      </x:c>
      <x:c r="E47" s="15" t="str">
        <x:v>https://file.finance.sina.com.cn/211.154.219.97:9494/MRGG/CNSESZ_STOCK/2026/2026-10/2026-10-08/12632025.PDF</x:v>
      </x:c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38" customHeight="1">
      <x:c r="A48" s="2" t="str">
        <x:v>S_mingyue_2025h1</x:v>
      </x:c>
      <x:c r="B48" s="2" t="str">
        <x:v>mingyue_2025h1</x:v>
      </x:c>
      <x:c r="C48" s="10" t="str">
        <x:v>定期报告/公告</x:v>
      </x:c>
      <x:c r="D48" s="17" t="str">
        <x:v>21</x:v>
      </x:c>
      <x:c r="E48" s="15" t="str">
        <x:v>https://static.cninfo.com.cn/finalpage/2025-08-28/1224588795.PDF</x:v>
      </x:c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38" customHeight="1">
      <x:c r="A49" s="2" t="str">
        <x:v>R_lingrui_2025</x:v>
      </x:c>
      <x:c r="B49" s="2" t="str">
        <x:v>lingrui_2025</x:v>
      </x:c>
      <x:c r="C49" s="10" t="str">
        <x:v>定期报告/公告</x:v>
      </x:c>
      <x:c r="D49" s="17" t="str"/>
      <x:c r="E49" s="15" t="str">
        <x:v>https://static.cninfo.com.cn/finalpage/2026-04-28/1225201875.PDF</x:v>
      </x:c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38" customHeight="1">
      <x:c r="A50" s="2" t="str">
        <x:v>R_lingrui_2026h1</x:v>
      </x:c>
      <x:c r="B50" s="2" t="str">
        <x:v>lingrui_2026h1</x:v>
      </x:c>
      <x:c r="C50" s="10" t="str">
        <x:v>定期报告/公告</x:v>
      </x:c>
      <x:c r="D50" s="17" t="str"/>
      <x:c r="E50" s="15" t="str">
        <x:v>https://static.cninfo.com.cn/finalpage/2026-08-12/1225468339.PDF</x:v>
      </x:c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38" customHeight="1">
      <x:c r="A51" s="2" t="str">
        <x:v>R_rongtai_2025</x:v>
      </x:c>
      <x:c r="B51" s="2" t="str">
        <x:v>rongtai_2025</x:v>
      </x:c>
      <x:c r="C51" s="10" t="str">
        <x:v>定期报告/公告</x:v>
      </x:c>
      <x:c r="D51" s="17" t="str"/>
      <x:c r="E51" s="15" t="str">
        <x:v>https://pdf.dfcfw.com/pdf/H2_AN202604241821549549_1.pdf</x:v>
      </x:c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38" customHeight="1">
      <x:c r="A52" s="2" t="str">
        <x:v>R_sinocare_ir_20260804</x:v>
      </x:c>
      <x:c r="B52" s="2" t="str">
        <x:v>sinocare_ir_20260804</x:v>
      </x:c>
      <x:c r="C52" s="10" t="str">
        <x:v>管理层/招股披露</x:v>
      </x:c>
      <x:c r="D52" s="17" t="str"/>
      <x:c r="E52" s="15" t="str">
        <x:v>https://file.finance.sina.com.cn/211.154.219.97:9494/MRGG/CNSESZ_STOCK/2026/2026-8/2026-08-04/12478091.PDF</x:v>
      </x:c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38" customHeight="1">
      <x:c r="A53" s="2" t="str">
        <x:v>R_sinocare_ir_20260902</x:v>
      </x:c>
      <x:c r="B53" s="2" t="str">
        <x:v>sinocare_ir_20260902</x:v>
      </x:c>
      <x:c r="C53" s="10" t="str">
        <x:v>管理层/招股披露</x:v>
      </x:c>
      <x:c r="D53" s="17" t="str"/>
      <x:c r="E53" s="15" t="str">
        <x:v>https://file.finance.sina.com.cn/211.154.219.97:9494/MRGG/CNSESZ_STOCK/2026/2026-9/2026-09-02/12581038.PDF</x:v>
      </x:c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38" customHeight="1">
      <x:c r="A54" s="2" t="str">
        <x:v>R_byhealth_ir_20260807</x:v>
      </x:c>
      <x:c r="B54" s="2" t="str">
        <x:v>byhealth_ir_20260807</x:v>
      </x:c>
      <x:c r="C54" s="10" t="str">
        <x:v>管理层/招股披露</x:v>
      </x:c>
      <x:c r="D54" s="17" t="str"/>
      <x:c r="E54" s="15" t="str">
        <x:v>https://static.cninfo.com.cn/finalpage/2026-08-09/1225465281.PDF</x:v>
      </x:c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38" customHeight="1">
      <x:c r="A55" s="2" t="str">
        <x:v>R_fda_osa_2024</x:v>
      </x:c>
      <x:c r="B55" s="2" t="str">
        <x:v>fda_osa_2024</x:v>
      </x:c>
      <x:c r="C55" s="10" t="str">
        <x:v>定期报告/公告</x:v>
      </x:c>
      <x:c r="D55" s="17" t="str"/>
      <x:c r="E55" s="15" t="str">
        <x:v>https://www.accessdata.fda.gov/drugsatfda_docs/label/2024/217806s013lbl.pdf</x:v>
      </x:c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38" customHeight="1">
      <x:c r="A56" s="2" t="str">
        <x:v>R_bmc_2024</x:v>
      </x:c>
      <x:c r="B56" s="2" t="str">
        <x:v>bmc_2024</x:v>
      </x:c>
      <x:c r="C56" s="10" t="str">
        <x:v>定期报告/公告</x:v>
      </x:c>
      <x:c r="D56" s="17" t="str"/>
      <x:c r="E56" s="15" t="str">
        <x:v>https://static.cninfo.com.cn/finalpage/2025-04-18/1223124901.PDF</x:v>
      </x:c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38" customHeight="1">
      <x:c r="A57" s="2" t="str">
        <x:v>R_yuyue_2024</x:v>
      </x:c>
      <x:c r="B57" s="2" t="str">
        <x:v>yuyue_2024</x:v>
      </x:c>
      <x:c r="C57" s="10" t="str">
        <x:v>定期报告/公告</x:v>
      </x:c>
      <x:c r="D57" s="17" t="str"/>
      <x:c r="E57" s="15" t="str">
        <x:v>https://static.cninfo.com.cn/finalpage/2025-04-26/1223316577.PDF</x:v>
      </x:c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38" customHeight="1">
      <x:c r="A58" s="2" t="str">
        <x:v>R_sinocare_2024</x:v>
      </x:c>
      <x:c r="B58" s="2" t="str">
        <x:v>sinocare_2024</x:v>
      </x:c>
      <x:c r="C58" s="10" t="str">
        <x:v>定期报告/公告</x:v>
      </x:c>
      <x:c r="D58" s="17" t="str"/>
      <x:c r="E58" s="15" t="str">
        <x:v>https://static.cninfo.com.cn/finalpage/2025-04-21/1223144436.PDF</x:v>
      </x:c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38" customHeight="1">
      <x:c r="A59" s="2" t="str">
        <x:v>R_byhealth_2025</x:v>
      </x:c>
      <x:c r="B59" s="2" t="str">
        <x:v>byhealth_2025</x:v>
      </x:c>
      <x:c r="C59" s="10" t="str">
        <x:v>定期报告/公告</x:v>
      </x:c>
      <x:c r="D59" s="17" t="str"/>
      <x:c r="E59" s="15" t="str">
        <x:v>https://file.finance.sina.com.cn/211.154.219.97:9494/MRGG/CNSESZ_STOCK/2026/2026-3/2026-03-21/12009396.PDF</x:v>
      </x:c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38" customHeight="1">
      <x:c r="A60" s="2" t="str">
        <x:v>R_sanxing_2025</x:v>
      </x:c>
      <x:c r="B60" s="2" t="str">
        <x:v>sanxing_2025</x:v>
      </x:c>
      <x:c r="C60" s="10" t="str">
        <x:v>定期报告/公告</x:v>
      </x:c>
      <x:c r="D60" s="17" t="str"/>
      <x:c r="E60" s="15" t="str">
        <x:v>https://stockmc.xueqiu.com/202604/601567_20260425_YPP2.pdf</x:v>
      </x:c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38" customHeight="1">
      <x:c r="A61" s="2" t="str">
        <x:v>R_bmc_2025</x:v>
      </x:c>
      <x:c r="B61" s="2" t="str">
        <x:v>bmc_2025</x:v>
      </x:c>
      <x:c r="C61" s="10" t="str">
        <x:v>定期报告/公告</x:v>
      </x:c>
      <x:c r="D61" s="17" t="str"/>
      <x:c r="E61" s="15" t="str">
        <x:v>https://static.cninfo.com.cn/finalpage/2026-04-23/1225143550.PDF</x:v>
      </x:c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38" customHeight="1">
      <x:c r="A62" s="2" t="str">
        <x:v>R_bmc_2026h1</x:v>
      </x:c>
      <x:c r="B62" s="2" t="str">
        <x:v>bmc_2026h1</x:v>
      </x:c>
      <x:c r="C62" s="10" t="str">
        <x:v>定期报告/公告</x:v>
      </x:c>
      <x:c r="D62" s="17" t="str"/>
      <x:c r="E62" s="15" t="str">
        <x:v>https://static.cninfo.com.cn/finalpage/2026-08-28/1225516739.PDF</x:v>
      </x:c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38" customHeight="1">
      <x:c r="A63" s="2" t="str">
        <x:v>R_yuyue_2025</x:v>
      </x:c>
      <x:c r="B63" s="2" t="str">
        <x:v>yuyue_2025</x:v>
      </x:c>
      <x:c r="C63" s="10" t="str">
        <x:v>定期报告/公告</x:v>
      </x:c>
      <x:c r="D63" s="17" t="str"/>
      <x:c r="E63" s="15" t="str">
        <x:v>https://static.cninfo.com.cn/finalpage/2026-04-25/1225185114.PDF</x:v>
      </x:c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38" customHeight="1">
      <x:c r="A64" s="2" t="str">
        <x:v>R_yuyue_2026h1</x:v>
      </x:c>
      <x:c r="B64" s="2" t="str">
        <x:v>yuyue_2026h1</x:v>
      </x:c>
      <x:c r="C64" s="10" t="str">
        <x:v>定期报告/公告</x:v>
      </x:c>
      <x:c r="D64" s="17" t="str"/>
      <x:c r="E64" s="15" t="str">
        <x:v>https://file.finance.sina.com.cn/211.154.219.97:9494/MRGG/CNSESZ_STOCK/2026/2026-8/2026-08-22/12517600.PDF</x:v>
      </x:c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38" customHeight="1">
      <x:c r="A65" s="2" t="str">
        <x:v>R_sinocare_2025</x:v>
      </x:c>
      <x:c r="B65" s="2" t="str">
        <x:v>sinocare_2025</x:v>
      </x:c>
      <x:c r="C65" s="10" t="str">
        <x:v>定期报告/公告</x:v>
      </x:c>
      <x:c r="D65" s="17" t="str"/>
      <x:c r="E65" s="15" t="str">
        <x:v>https://static.cninfo.com.cn/finalpage/2026-04-28/1225210843.PDF</x:v>
      </x:c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38" customHeight="1">
      <x:c r="A66" s="2" t="str">
        <x:v>R_sinocare_2026h1</x:v>
      </x:c>
      <x:c r="B66" s="2" t="str">
        <x:v>sinocare_2026h1</x:v>
      </x:c>
      <x:c r="C66" s="10" t="str">
        <x:v>定期报告/公告</x:v>
      </x:c>
      <x:c r="D66" s="17" t="str"/>
      <x:c r="E66" s="15" t="str">
        <x:v>https://static.cninfo.com.cn/finalpage/2026-08-04/1225454934.PDF</x:v>
      </x:c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38" customHeight="1">
      <x:c r="A67" s="2" t="str">
        <x:v>R_byhealth_2026h1</x:v>
      </x:c>
      <x:c r="B67" s="2" t="str">
        <x:v>byhealth_2026h1</x:v>
      </x:c>
      <x:c r="C67" s="10" t="str">
        <x:v>定期报告/公告</x:v>
      </x:c>
      <x:c r="D67" s="17" t="str"/>
      <x:c r="E67" s="15" t="str">
        <x:v>https://static.cninfo.com.cn/finalpage/2026-08-08/1225463646.PDF</x:v>
      </x:c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38" customHeight="1">
      <x:c r="A68" s="2" t="str">
        <x:v>R_mehow_2025</x:v>
      </x:c>
      <x:c r="B68" s="2" t="str">
        <x:v>mehow_2025</x:v>
      </x:c>
      <x:c r="C68" s="10" t="str">
        <x:v>定期报告/公告</x:v>
      </x:c>
      <x:c r="D68" s="17" t="str"/>
      <x:c r="E68" s="15" t="str">
        <x:v>https://disc.static.szse.cn/disc/disk03/finalpage/2026-04-21/6e581752-a8cd-4c47-b995-37c56ef0ad8b.PDF</x:v>
      </x:c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38" customHeight="1">
      <x:c r="A69" s="2" t="str">
        <x:v>R_mehow_2026h1</x:v>
      </x:c>
      <x:c r="B69" s="2" t="str">
        <x:v>mehow_2026h1</x:v>
      </x:c>
      <x:c r="C69" s="10" t="str">
        <x:v>定期报告/公告</x:v>
      </x:c>
      <x:c r="D69" s="17" t="str"/>
      <x:c r="E69" s="15" t="str">
        <x:v>https://disc.static.szse.cn/disc/disk03/finalpage/2026-08-18/7b5cfafd-d4bf-45f5-834b-3dbcb4110936.PDF</x:v>
      </x:c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38" customHeight="1">
      <x:c r="A70" s="2" t="str">
        <x:v>Aier_shares</x:v>
      </x:c>
      <x:c r="B70" s="2" t="str">
        <x:v>2026-10-20已完成注销</x:v>
      </x:c>
      <x:c r="C70" s="10" t="str">
        <x:v>登记完成</x:v>
      </x:c>
      <x:c r="D70" s="17" t="str">
        <x:v>1–2</x:v>
      </x:c>
      <x:c r="E70" s="15" t="str">
        <x:v>https://static.cninfo.com.cn/finalpage/2026-10-20/1225611896.PDF</x:v>
      </x:c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38" customHeight="1">
      <x:c r="A71" s="2" t="str">
        <x:v>Yuyue_shares</x:v>
      </x:c>
      <x:c r="B71" s="2" t="str">
        <x:v>2026-09-18已完成注销</x:v>
      </x:c>
      <x:c r="C71" s="10" t="str">
        <x:v>9/16登记生效</x:v>
      </x:c>
      <x:c r="D71" s="17" t="str">
        <x:v>公告全文</x:v>
      </x:c>
      <x:c r="E71" s="15" t="str">
        <x:v>https://vip.stock.finance.sina.com.cn/corp/view/vCB_AllBulletinDetail.php?id=12609388&amp;stockid=002223</x:v>
      </x:c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87E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9" hidden="0" customWidth="1"/>
    <x:col min="2" max="2" width="20" hidden="0" customWidth="1"/>
    <x:col min="3" max="3" width="18" hidden="0" customWidth="1"/>
    <x:col min="4" max="4" width="17" hidden="0" customWidth="1"/>
    <x:col min="5" max="5" width="75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8" customHeight="1">
      <x:c r="A1" s="4" t="str">
        <x:v>公式及财务核对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</x:row>
    <x:row r="2" ht="23" customHeight="1">
      <x:c r="A2" s="2" t="str">
        <x:v>研究截点 2026-10-20 | 金额：百万元；每股：元</x:v>
      </x:c>
      <x:c r="B2" s="2"/>
      <x:c r="C2" s="2"/>
      <x:c r="D2" s="2"/>
      <x:c r="E2" s="2"/>
      <x:c r="F2" s="5" t="str">
        <x:f>CHOOSE(Summary!$B$3,"下行","基准","上行")</x:f>
        <x:v>基准</x:v>
      </x:c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检查</x:v>
      </x:c>
      <x:c r="B5" s="2" t="str">
        <x:v>差额/数值</x:v>
      </x:c>
      <x:c r="C5" s="8" t="str">
        <x:v>容忍度</x:v>
      </x:c>
      <x:c r="D5" s="9" t="str">
        <x:v>结果</x:v>
      </x:c>
      <x:c r="E5" s="9" t="str">
        <x:v>说明</x:v>
      </x:c>
      <x:c r="F5" s="9"/>
      <x:c r="G5" s="9"/>
      <x:c r="H5" s="9"/>
      <x:c r="I5" s="2"/>
      <x:c r="J5" s="2"/>
      <x:c r="K5" s="2"/>
      <x:c r="L5" s="2"/>
      <x:c r="M5" s="2"/>
      <x:c r="N5" s="2"/>
    </x:row>
    <x:row r="6" ht="23" customHeight="1">
      <x:c r="A6" s="2" t="str">
        <x:v>爱博IOL收入校准</x:v>
      </x:c>
      <x:c r="B6" s="51" t="n">
        <x:f>IOL!C18-Actuals!G8</x:f>
        <x:v>0</x:v>
      </x:c>
      <x:c r="C6" s="52" t="n">
        <x:v>0.000001</x:v>
      </x:c>
      <x:c r="D6" s="10" t="str">
        <x:f>IF(ABS(B6)&lt;=C6,"PASS","REVIEW")</x:f>
        <x:v>PASS</x:v>
      </x:c>
      <x:c r="E6" s="10" t="str">
        <x:v>量价校准</x:v>
      </x:c>
      <x:c r="F6" s="10"/>
      <x:c r="G6" s="10"/>
      <x:c r="H6" s="10"/>
      <x:c r="I6" s="2"/>
      <x:c r="J6" s="2"/>
      <x:c r="K6" s="2"/>
      <x:c r="L6" s="2"/>
      <x:c r="M6" s="2"/>
      <x:c r="N6" s="2"/>
    </x:row>
    <x:row r="7" ht="23" customHeight="1">
      <x:c r="A7" s="2" t="str">
        <x:v>爱博IOL毛利近似校准</x:v>
      </x:c>
      <x:c r="B7" s="51" t="n">
        <x:f>IOL!C21-Actuals!G8+Actuals!H8</x:f>
        <x:v>-2.842170943040401e-14</x:v>
      </x:c>
      <x:c r="C7" s="52" t="n">
        <x:v>0.1</x:v>
      </x:c>
      <x:c r="D7" s="10" t="str">
        <x:f>IF(ABS(B7)&lt;=C7,"PASS","REVIEW")</x:f>
        <x:v>PASS</x:v>
      </x:c>
      <x:c r="E7" s="10" t="str">
        <x:v>高低GM假设差额应小于10万元；不是披露分段GM</x:v>
      </x:c>
      <x:c r="F7" s="10"/>
      <x:c r="G7" s="10"/>
      <x:c r="H7" s="10"/>
      <x:c r="I7" s="2"/>
      <x:c r="J7" s="2"/>
      <x:c r="K7" s="2"/>
      <x:c r="L7" s="2"/>
      <x:c r="M7" s="2"/>
      <x:c r="N7" s="2"/>
    </x:row>
    <x:row r="8" ht="23" customHeight="1">
      <x:c r="A8" s="2" t="str">
        <x:v>爱尔收入校准</x:v>
      </x:c>
      <x:c r="B8" s="51" t="n">
        <x:f>Aier!C15-Actuals!G13</x:f>
        <x:v>0</x:v>
      </x:c>
      <x:c r="C8" s="52" t="n">
        <x:v>0.000001</x:v>
      </x:c>
      <x:c r="D8" s="10" t="str">
        <x:f>IF(ABS(B8)&lt;=C8,"PASS","REVIEW")</x:f>
        <x:v>PASS</x:v>
      </x:c>
      <x:c r="E8" s="10" t="str">
        <x:v>医院分项</x:v>
      </x:c>
      <x:c r="F8" s="10"/>
      <x:c r="G8" s="10"/>
      <x:c r="H8" s="10"/>
      <x:c r="I8" s="2"/>
      <x:c r="J8" s="2"/>
      <x:c r="K8" s="2"/>
      <x:c r="L8" s="2"/>
      <x:c r="M8" s="2"/>
      <x:c r="N8" s="2"/>
    </x:row>
    <x:row r="9" ht="23" customHeight="1">
      <x:c r="A9" s="2" t="str">
        <x:v>爱尔成本校准</x:v>
      </x:c>
      <x:c r="B9" s="51" t="n">
        <x:f>Aier!C16+Aier!C17-Actuals!H13</x:f>
        <x:v>0</x:v>
      </x:c>
      <x:c r="C9" s="52" t="n">
        <x:v>0.000001</x:v>
      </x:c>
      <x:c r="D9" s="10" t="str">
        <x:f>IF(ABS(B9)&lt;=C9,"PASS","REVIEW")</x:f>
        <x:v>PASS</x:v>
      </x:c>
      <x:c r="E9" s="10" t="str">
        <x:v>医院成本</x:v>
      </x:c>
      <x:c r="F9" s="10"/>
      <x:c r="G9" s="10"/>
      <x:c r="H9" s="10"/>
      <x:c r="I9" s="2"/>
      <x:c r="J9" s="2"/>
      <x:c r="K9" s="2"/>
      <x:c r="L9" s="2"/>
      <x:c r="M9" s="2"/>
      <x:c r="N9" s="2"/>
    </x:row>
    <x:row r="10" ht="23" customHeight="1">
      <x:c r="A10" s="2" t="str">
        <x:v>瑞迈特2025归母校准</x:v>
      </x:c>
      <x:c r="B10" s="51" t="n">
        <x:f>PAP!C30-Actuals!E50</x:f>
        <x:v>0</x:v>
      </x:c>
      <x:c r="C10" s="52" t="n">
        <x:v>0.000001</x:v>
      </x:c>
      <x:c r="D10" s="10" t="str">
        <x:f>IF(ABS(B10)&lt;=C10,"PASS","REVIEW")</x:f>
        <x:v>PASS</x:v>
      </x:c>
      <x:c r="E10" s="10" t="str">
        <x:v>其他经常项残差</x:v>
      </x:c>
      <x:c r="F10" s="10"/>
      <x:c r="G10" s="10"/>
      <x:c r="H10" s="10"/>
      <x:c r="I10" s="2"/>
      <x:c r="J10" s="2"/>
      <x:c r="K10" s="2"/>
      <x:c r="L10" s="2"/>
      <x:c r="M10" s="2"/>
      <x:c r="N10" s="2"/>
    </x:row>
    <x:row r="11" ht="23" customHeight="1">
      <x:c r="A11" s="2" t="str">
        <x:v>明月2025收入校准</x:v>
      </x:c>
      <x:c r="B11" s="51" t="n">
        <x:f>Sensory!C34+Sensory!C40-Actuals!C23</x:f>
        <x:v>0</x:v>
      </x:c>
      <x:c r="C11" s="52" t="n">
        <x:v>0.000001</x:v>
      </x:c>
      <x:c r="D11" s="10" t="str">
        <x:f>IF(ABS(B11)&lt;=C11,"PASS","REVIEW")</x:f>
        <x:v>PASS</x:v>
      </x:c>
      <x:c r="E11" s="10" t="str">
        <x:v>未知分部仅假设划分</x:v>
      </x:c>
      <x:c r="F11" s="10"/>
      <x:c r="G11" s="10"/>
      <x:c r="H11" s="10"/>
      <x:c r="I11" s="2"/>
      <x:c r="J11" s="2"/>
      <x:c r="K11" s="2"/>
      <x:c r="L11" s="2"/>
      <x:c r="M11" s="2"/>
      <x:c r="N11" s="2"/>
    </x:row>
    <x:row r="12" ht="23" customHeight="1">
      <x:c r="A12" s="2" t="str">
        <x:v>示意收入打平高端占比</x:v>
      </x:c>
      <x:c r="B12" s="51" t="n">
        <x:f>IOL!C52</x:f>
        <x:v>0.21132457027300314</x:v>
      </x:c>
      <x:c r="C12" s="52" t="n">
        <x:v>0.21132457</x:v>
      </x:c>
      <x:c r="D12" s="10" t="str">
        <x:f>"展示值"</x:f>
        <x:v>展示值</x:v>
      </x:c>
      <x:c r="E12" s="10" t="str">
        <x:v>单独数值展示</x:v>
      </x:c>
      <x:c r="F12" s="10"/>
      <x:c r="G12" s="10"/>
      <x:c r="H12" s="10"/>
      <x:c r="I12" s="2"/>
      <x:c r="J12" s="2"/>
      <x:c r="K12" s="2"/>
      <x:c r="L12" s="2"/>
      <x:c r="M12" s="2"/>
      <x:c r="N12" s="2"/>
    </x:row>
    <x:row r="13" ht="23" customHeight="1">
      <x:c r="A13" s="2" t="str">
        <x:v>示意打平时收入偏差</x:v>
      </x:c>
      <x:c r="B13" s="51" t="n">
        <x:f>IOL!C11*((1-IOL!C52)*IOL!C13*(1+IOL!C49)+IOL!C52*IOL!C14*(1+IOL!C50))-IOL!C18</x:f>
        <x:v>0</x:v>
      </x:c>
      <x:c r="C13" s="52" t="n">
        <x:v>0.000001</x:v>
      </x:c>
      <x:c r="D13" s="10" t="str">
        <x:f>IF(ABS(B13)&lt;=C13,"PASS","REVIEW")</x:f>
        <x:v>PASS</x:v>
      </x:c>
      <x:c r="E13" s="10" t="str">
        <x:v>毛利打平另算</x:v>
      </x:c>
      <x:c r="F13" s="10"/>
      <x:c r="G13" s="10"/>
      <x:c r="H13" s="10"/>
      <x:c r="I13" s="2"/>
      <x:c r="J13" s="2"/>
      <x:c r="K13" s="2"/>
      <x:c r="L13" s="2"/>
      <x:c r="M13" s="2"/>
      <x:c r="N13" s="2"/>
    </x:row>
    <x:row r="14" ht="23" customHeight="1">
      <x:c r="A14" s="2" t="str">
        <x:v>德美2026并表收入一致</x:v>
      </x:c>
      <x:c r="B14" s="51" t="n">
        <x:f>IOL!D29-Assumptions!D57*IOL!C44</x:f>
        <x:v>0</x:v>
      </x:c>
      <x:c r="C14" s="52" t="n">
        <x:v>0.000001</x:v>
      </x:c>
      <x:c r="D14" s="10" t="str">
        <x:f>IF(ABS(B14)&lt;=C14,"PASS","REVIEW")</x:f>
        <x:v>PASS</x:v>
      </x:c>
      <x:c r="E14" s="10" t="str">
        <x:v>不是全年承诺收入</x:v>
      </x:c>
      <x:c r="F14" s="10"/>
      <x:c r="G14" s="10"/>
      <x:c r="H14" s="10"/>
      <x:c r="I14" s="2"/>
      <x:c r="J14" s="2"/>
      <x:c r="K14" s="2"/>
      <x:c r="L14" s="2"/>
      <x:c r="M14" s="2"/>
      <x:c r="N14" s="2"/>
    </x:row>
    <x:row r="15" ht="23" customHeight="1">
      <x:c r="A15" s="2" t="str">
        <x:v>爱尔股本与最新登记</x:v>
      </x:c>
      <x:c r="B15" s="51" t="n">
        <x:f>Aier!C28-9281.000213</x:f>
        <x:v>0</x:v>
      </x:c>
      <x:c r="C15" s="52" t="n">
        <x:v>0.000001</x:v>
      </x:c>
      <x:c r="D15" s="10" t="str">
        <x:f>IF(ABS(B15)&lt;=C15,"PASS","REVIEW")</x:f>
        <x:v>PASS</x:v>
      </x:c>
      <x:c r="E15" s="10" t="str">
        <x:v>10/19已完成</x:v>
      </x:c>
      <x:c r="F15" s="10"/>
      <x:c r="G15" s="10"/>
      <x:c r="H15" s="10"/>
      <x:c r="I15" s="2"/>
      <x:c r="J15" s="2"/>
      <x:c r="K15" s="2"/>
      <x:c r="L15" s="2"/>
      <x:c r="M15" s="2"/>
      <x:c r="N15" s="2"/>
    </x:row>
    <x:row r="16" ht="23" customHeight="1">
      <x:c r="A16" s="2" t="str">
        <x:v>案例选择恢复基准</x:v>
      </x:c>
      <x:c r="B16" s="51" t="n">
        <x:f>Summary!B3-2</x:f>
        <x:v>0</x:v>
      </x:c>
      <x:c r="C16" s="52" t="n">
        <x:v>0</x:v>
      </x:c>
      <x:c r="D16" s="10" t="str">
        <x:f>IF(ABS(B16)&lt;=C16,"PASS","REVIEW")</x:f>
        <x:v>PASS</x:v>
      </x:c>
      <x:c r="E16" s="10" t="str">
        <x:v>交付默认基准</x:v>
      </x:c>
      <x:c r="F16" s="10"/>
      <x:c r="G16" s="10"/>
      <x:c r="H16" s="10"/>
      <x:c r="I16" s="2"/>
      <x:c r="J16" s="2"/>
      <x:c r="K16" s="2"/>
      <x:c r="L16" s="2"/>
      <x:c r="M16" s="2"/>
      <x:c r="N16" s="2"/>
    </x:row>
    <x:row r="17" ht="23" customHeight="1">
      <x:c r="A17" s="2" t="str">
        <x:v>成交额Aibo真值在界内</x:v>
      </x:c>
      <x:c r="B17" s="51" t="n">
        <x:f>IF(AND(Market!J6&gt;=Market!K6,Market!J6&lt;=Market!L6),0,1)</x:f>
        <x:v>0</x:v>
      </x:c>
      <x:c r="C17" s="52" t="n">
        <x:v>0</x:v>
      </x:c>
      <x:c r="D17" s="10" t="str">
        <x:f>IF(ABS(B17)&lt;=C17,"PASS","REVIEW")</x:f>
        <x:v>PASS</x:v>
      </x:c>
      <x:c r="E17" s="10" t="str">
        <x:v>真实ADTV与OHLC上下界</x:v>
      </x:c>
      <x:c r="F17" s="10"/>
      <x:c r="G17" s="10"/>
      <x:c r="H17" s="10"/>
      <x:c r="I17" s="2"/>
      <x:c r="J17" s="2"/>
      <x:c r="K17" s="2"/>
      <x:c r="L17" s="2"/>
      <x:c r="M17" s="2"/>
      <x:c r="N17" s="2"/>
    </x:row>
    <x:row r="18" ht="23" customHeight="1">
      <x:c r="A18" s="2"/>
      <x:c r="B18" s="2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  <x:c r="M18" s="2"/>
      <x:c r="N18" s="2"/>
    </x:row>
    <x:row r="19" ht="23" customHeight="1">
      <x:c r="A19" s="2"/>
      <x:c r="B19" s="2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  <x:c r="M19" s="2"/>
      <x:c r="N19" s="2"/>
    </x:row>
    <x:row r="20" ht="23" customHeight="1">
      <x:c r="A20" s="2"/>
      <x:c r="B20" s="2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  <x:c r="M20" s="2"/>
      <x:c r="N20" s="2"/>
    </x:row>
    <x:row r="21" ht="23" customHeight="1">
      <x:c r="A21" s="2"/>
      <x:c r="B21" s="2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  <x:c r="M23" s="2"/>
      <x:c r="N23" s="2"/>
    </x:row>
    <x:row r="24" ht="23" customHeight="1">
      <x:c r="A24" s="2"/>
      <x:c r="B24" s="2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  <x:c r="M24" s="2"/>
      <x:c r="N24" s="2"/>
    </x:row>
    <x:row r="25" ht="23" customHeight="1">
      <x:c r="A25" s="2"/>
      <x:c r="B25" s="2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10"/>
      <x:c r="D30" s="10"/>
      <x:c r="E30" s="10"/>
      <x:c r="F30" s="10"/>
      <x:c r="G30" s="10"/>
      <x:c r="H30" s="10"/>
      <x:c r="I30" s="2"/>
      <x:c r="J30" s="2"/>
      <x:c r="K30" s="2"/>
      <x:c r="L30" s="2"/>
      <x:c r="M30" s="2"/>
      <x:c r="N30" s="2"/>
    </x:row>
    <x:row r="31" ht="23" customHeight="1">
      <x:c r="A31" s="2"/>
      <x:c r="B31" s="2"/>
      <x:c r="C31" s="10"/>
      <x:c r="D31" s="10"/>
      <x:c r="E31" s="10"/>
      <x:c r="F31" s="10"/>
      <x:c r="G31" s="10"/>
      <x:c r="H31" s="10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10"/>
      <x:c r="D32" s="10"/>
      <x:c r="E32" s="10"/>
      <x:c r="F32" s="10"/>
      <x:c r="G32" s="10"/>
      <x:c r="H32" s="10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10"/>
      <x:c r="D33" s="10"/>
      <x:c r="E33" s="10"/>
      <x:c r="F33" s="10"/>
      <x:c r="G33" s="10"/>
      <x:c r="H33" s="10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10"/>
      <x:c r="D34" s="10"/>
      <x:c r="E34" s="10"/>
      <x:c r="F34" s="10"/>
      <x:c r="G34" s="10"/>
      <x:c r="H34" s="10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10"/>
      <x:c r="D35" s="10"/>
      <x:c r="E35" s="10"/>
      <x:c r="F35" s="10"/>
      <x:c r="G35" s="10"/>
      <x:c r="H35" s="10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10"/>
      <x:c r="D36" s="10"/>
      <x:c r="E36" s="10"/>
      <x:c r="F36" s="10"/>
      <x:c r="G36" s="10"/>
      <x:c r="H36" s="10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10"/>
      <x:c r="D37" s="10"/>
      <x:c r="E37" s="10"/>
      <x:c r="F37" s="10"/>
      <x:c r="G37" s="10"/>
      <x:c r="H37" s="10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10"/>
      <x:c r="D38" s="10"/>
      <x:c r="E38" s="10"/>
      <x:c r="F38" s="10"/>
      <x:c r="G38" s="10"/>
      <x:c r="H38" s="10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10"/>
      <x:c r="D39" s="10"/>
      <x:c r="E39" s="10"/>
      <x:c r="F39" s="10"/>
      <x:c r="G39" s="10"/>
      <x:c r="H39" s="10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10"/>
      <x:c r="D40" s="10"/>
      <x:c r="E40" s="10"/>
      <x:c r="F40" s="10"/>
      <x:c r="G40" s="10"/>
      <x:c r="H40" s="10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10"/>
      <x:c r="D41" s="10"/>
      <x:c r="E41" s="10"/>
      <x:c r="F41" s="10"/>
      <x:c r="G41" s="10"/>
      <x:c r="H41" s="10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10"/>
      <x:c r="D42" s="10"/>
      <x:c r="E42" s="10"/>
      <x:c r="F42" s="10"/>
      <x:c r="G42" s="10"/>
      <x:c r="H42" s="10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10"/>
      <x:c r="D43" s="10"/>
      <x:c r="E43" s="10"/>
      <x:c r="F43" s="10"/>
      <x:c r="G43" s="10"/>
      <x:c r="H43" s="10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10"/>
      <x:c r="D44" s="10"/>
      <x:c r="E44" s="10"/>
      <x:c r="F44" s="10"/>
      <x:c r="G44" s="10"/>
      <x:c r="H44" s="10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10"/>
      <x:c r="D45" s="10"/>
      <x:c r="E45" s="10"/>
      <x:c r="F45" s="10"/>
      <x:c r="G45" s="10"/>
      <x:c r="H45" s="10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0"/>
      <x:c r="D46" s="10"/>
      <x:c r="E46" s="10"/>
      <x:c r="F46" s="10"/>
      <x:c r="G46" s="10"/>
      <x:c r="H46" s="10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10"/>
      <x:c r="D47" s="10"/>
      <x:c r="E47" s="10"/>
      <x:c r="F47" s="10"/>
      <x:c r="G47" s="10"/>
      <x:c r="H47" s="10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10"/>
      <x:c r="D48" s="10"/>
      <x:c r="E48" s="10"/>
      <x:c r="F48" s="10"/>
      <x:c r="G48" s="10"/>
      <x:c r="H48" s="10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10"/>
      <x:c r="D49" s="10"/>
      <x:c r="E49" s="10"/>
      <x:c r="F49" s="10"/>
      <x:c r="G49" s="10"/>
      <x:c r="H49" s="10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0"/>
      <x:c r="D50" s="10"/>
      <x:c r="E50" s="10"/>
      <x:c r="F50" s="10"/>
      <x:c r="G50" s="10"/>
      <x:c r="H50" s="10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10"/>
      <x:c r="D51" s="10"/>
      <x:c r="E51" s="10"/>
      <x:c r="F51" s="10"/>
      <x:c r="G51" s="10"/>
      <x:c r="H51" s="10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10"/>
      <x:c r="D52" s="10"/>
      <x:c r="E52" s="10"/>
      <x:c r="F52" s="10"/>
      <x:c r="G52" s="10"/>
      <x:c r="H52" s="10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10"/>
      <x:c r="D53" s="10"/>
      <x:c r="E53" s="10"/>
      <x:c r="F53" s="10"/>
      <x:c r="G53" s="10"/>
      <x:c r="H53" s="10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0"/>
      <x:c r="D54" s="10"/>
      <x:c r="E54" s="10"/>
      <x:c r="F54" s="10"/>
      <x:c r="G54" s="10"/>
      <x:c r="H54" s="10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10"/>
      <x:c r="D55" s="10"/>
      <x:c r="E55" s="10"/>
      <x:c r="F55" s="10"/>
      <x:c r="G55" s="10"/>
      <x:c r="H55" s="10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10"/>
      <x:c r="D56" s="10"/>
      <x:c r="E56" s="10"/>
      <x:c r="F56" s="10"/>
      <x:c r="G56" s="10"/>
      <x:c r="H56" s="10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10"/>
      <x:c r="D57" s="10"/>
      <x:c r="E57" s="10"/>
      <x:c r="F57" s="10"/>
      <x:c r="G57" s="10"/>
      <x:c r="H57" s="10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0"/>
      <x:c r="D58" s="10"/>
      <x:c r="E58" s="10"/>
      <x:c r="F58" s="10"/>
      <x:c r="G58" s="10"/>
      <x:c r="H58" s="10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10"/>
      <x:c r="D59" s="10"/>
      <x:c r="E59" s="10"/>
      <x:c r="F59" s="10"/>
      <x:c r="G59" s="10"/>
      <x:c r="H59" s="10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10"/>
      <x:c r="D60" s="10"/>
      <x:c r="E60" s="10"/>
      <x:c r="F60" s="10"/>
      <x:c r="G60" s="10"/>
      <x:c r="H60" s="10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10"/>
      <x:c r="D61" s="10"/>
      <x:c r="E61" s="10"/>
      <x:c r="F61" s="10"/>
      <x:c r="G61" s="10"/>
      <x:c r="H61" s="10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0"/>
      <x:c r="D62" s="10"/>
      <x:c r="E62" s="10"/>
      <x:c r="F62" s="10"/>
      <x:c r="G62" s="10"/>
      <x:c r="H62" s="10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10"/>
      <x:c r="D63" s="10"/>
      <x:c r="E63" s="10"/>
      <x:c r="F63" s="10"/>
      <x:c r="G63" s="10"/>
      <x:c r="H63" s="10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10"/>
      <x:c r="D64" s="10"/>
      <x:c r="E64" s="10"/>
      <x:c r="F64" s="10"/>
      <x:c r="G64" s="10"/>
      <x:c r="H64" s="10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10"/>
      <x:c r="D65" s="10"/>
      <x:c r="E65" s="10"/>
      <x:c r="F65" s="10"/>
      <x:c r="G65" s="10"/>
      <x:c r="H65" s="10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0"/>
      <x:c r="D66" s="10"/>
      <x:c r="E66" s="10"/>
      <x:c r="F66" s="10"/>
      <x:c r="G66" s="10"/>
      <x:c r="H66" s="10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10"/>
      <x:c r="D67" s="10"/>
      <x:c r="E67" s="10"/>
      <x:c r="F67" s="10"/>
      <x:c r="G67" s="10"/>
      <x:c r="H67" s="10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10"/>
      <x:c r="D68" s="10"/>
      <x:c r="E68" s="10"/>
      <x:c r="F68" s="10"/>
      <x:c r="G68" s="10"/>
      <x:c r="H68" s="10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10"/>
      <x:c r="D69" s="10"/>
      <x:c r="E69" s="10"/>
      <x:c r="F69" s="10"/>
      <x:c r="G69" s="10"/>
      <x:c r="H69" s="10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10"/>
      <x:c r="D70" s="10"/>
      <x:c r="E70" s="10"/>
      <x:c r="F70" s="10"/>
      <x:c r="G70" s="10"/>
      <x:c r="H70" s="10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10"/>
      <x:c r="D71" s="10"/>
      <x:c r="E71" s="10"/>
      <x:c r="F71" s="10"/>
      <x:c r="G71" s="10"/>
      <x:c r="H71" s="10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10"/>
      <x:c r="D72" s="10"/>
      <x:c r="E72" s="10"/>
      <x:c r="F72" s="10"/>
      <x:c r="G72" s="10"/>
      <x:c r="H72" s="10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10"/>
      <x:c r="D73" s="10"/>
      <x:c r="E73" s="10"/>
      <x:c r="F73" s="10"/>
      <x:c r="G73" s="10"/>
      <x:c r="H73" s="10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10"/>
      <x:c r="D74" s="10"/>
      <x:c r="E74" s="10"/>
      <x:c r="F74" s="10"/>
      <x:c r="G74" s="10"/>
      <x:c r="H74" s="10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10"/>
      <x:c r="D75" s="10"/>
      <x:c r="E75" s="10"/>
      <x:c r="F75" s="10"/>
      <x:c r="G75" s="10"/>
      <x:c r="H75" s="10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10"/>
      <x:c r="D76" s="10"/>
      <x:c r="E76" s="10"/>
      <x:c r="F76" s="10"/>
      <x:c r="G76" s="10"/>
      <x:c r="H76" s="10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10"/>
      <x:c r="D77" s="10"/>
      <x:c r="E77" s="10"/>
      <x:c r="F77" s="10"/>
      <x:c r="G77" s="10"/>
      <x:c r="H77" s="10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10"/>
      <x:c r="D78" s="10"/>
      <x:c r="E78" s="10"/>
      <x:c r="F78" s="10"/>
      <x:c r="G78" s="10"/>
      <x:c r="H78" s="10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10"/>
      <x:c r="D79" s="10"/>
      <x:c r="E79" s="10"/>
      <x:c r="F79" s="10"/>
      <x:c r="G79" s="10"/>
      <x:c r="H79" s="10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10"/>
      <x:c r="D80" s="10"/>
      <x:c r="E80" s="10"/>
      <x:c r="F80" s="10"/>
      <x:c r="G80" s="10"/>
      <x:c r="H80" s="10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10"/>
      <x:c r="D81" s="10"/>
      <x:c r="E81" s="10"/>
      <x:c r="F81" s="10"/>
      <x:c r="G81" s="10"/>
      <x:c r="H81" s="10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10"/>
      <x:c r="D82" s="10"/>
      <x:c r="E82" s="10"/>
      <x:c r="F82" s="10"/>
      <x:c r="G82" s="10"/>
      <x:c r="H82" s="10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10"/>
      <x:c r="D83" s="10"/>
      <x:c r="E83" s="10"/>
      <x:c r="F83" s="10"/>
      <x:c r="G83" s="10"/>
      <x:c r="H83" s="10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10"/>
      <x:c r="D84" s="10"/>
      <x:c r="E84" s="10"/>
      <x:c r="F84" s="10"/>
      <x:c r="G84" s="10"/>
      <x:c r="H84" s="10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10"/>
      <x:c r="D85" s="10"/>
      <x:c r="E85" s="10"/>
      <x:c r="F85" s="10"/>
      <x:c r="G85" s="10"/>
      <x:c r="H85" s="10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10"/>
      <x:c r="D86" s="10"/>
      <x:c r="E86" s="10"/>
      <x:c r="F86" s="10"/>
      <x:c r="G86" s="10"/>
      <x:c r="H86" s="10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10"/>
      <x:c r="D87" s="10"/>
      <x:c r="E87" s="10"/>
      <x:c r="F87" s="10"/>
      <x:c r="G87" s="10"/>
      <x:c r="H87" s="10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10"/>
      <x:c r="D88" s="10"/>
      <x:c r="E88" s="10"/>
      <x:c r="F88" s="10"/>
      <x:c r="G88" s="10"/>
      <x:c r="H88" s="10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10"/>
      <x:c r="D89" s="10"/>
      <x:c r="E89" s="10"/>
      <x:c r="F89" s="10"/>
      <x:c r="G89" s="10"/>
      <x:c r="H89" s="10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10"/>
      <x:c r="D90" s="10"/>
      <x:c r="E90" s="10"/>
      <x:c r="F90" s="10"/>
      <x:c r="G90" s="10"/>
      <x:c r="H90" s="10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10"/>
      <x:c r="D91" s="10"/>
      <x:c r="E91" s="10"/>
      <x:c r="F91" s="10"/>
      <x:c r="G91" s="10"/>
      <x:c r="H91" s="10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10"/>
      <x:c r="D92" s="10"/>
      <x:c r="E92" s="10"/>
      <x:c r="F92" s="10"/>
      <x:c r="G92" s="10"/>
      <x:c r="H92" s="10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10"/>
      <x:c r="D93" s="10"/>
      <x:c r="E93" s="10"/>
      <x:c r="F93" s="10"/>
      <x:c r="G93" s="10"/>
      <x:c r="H93" s="10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10"/>
      <x:c r="D94" s="10"/>
      <x:c r="E94" s="10"/>
      <x:c r="F94" s="10"/>
      <x:c r="G94" s="10"/>
      <x:c r="H94" s="10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10"/>
      <x:c r="D95" s="10"/>
      <x:c r="E95" s="10"/>
      <x:c r="F95" s="10"/>
      <x:c r="G95" s="10"/>
      <x:c r="H95" s="10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10"/>
      <x:c r="D96" s="10"/>
      <x:c r="E96" s="10"/>
      <x:c r="F96" s="10"/>
      <x:c r="G96" s="10"/>
      <x:c r="H96" s="10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10"/>
      <x:c r="D97" s="10"/>
      <x:c r="E97" s="10"/>
      <x:c r="F97" s="10"/>
      <x:c r="G97" s="10"/>
      <x:c r="H97" s="10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10"/>
      <x:c r="D98" s="10"/>
      <x:c r="E98" s="10"/>
      <x:c r="F98" s="10"/>
      <x:c r="G98" s="10"/>
      <x:c r="H98" s="10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10"/>
      <x:c r="D99" s="10"/>
      <x:c r="E99" s="10"/>
      <x:c r="F99" s="10"/>
      <x:c r="G99" s="10"/>
      <x:c r="H99" s="10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10"/>
      <x:c r="D100" s="10"/>
      <x:c r="E100" s="10"/>
      <x:c r="F100" s="10"/>
      <x:c r="G100" s="10"/>
      <x:c r="H100" s="10"/>
      <x:c r="I100" s="2"/>
      <x:c r="J100" s="2"/>
      <x:c r="K100" s="2"/>
      <x:c r="L100" s="2"/>
      <x:c r="M100" s="2"/>
      <x:c r="N100" s="2"/>
    </x:row>
    <x:row r="101" ht="23" customHeight="1">
      <x:c r="A101" s="2"/>
      <x:c r="B101" s="2"/>
      <x:c r="C101" s="10"/>
      <x:c r="D101" s="10"/>
      <x:c r="E101" s="10"/>
      <x:c r="F101" s="10"/>
      <x:c r="G101" s="10"/>
      <x:c r="H101" s="10"/>
      <x:c r="I101" s="2"/>
      <x:c r="J101" s="2"/>
      <x:c r="K101" s="2"/>
      <x:c r="L101" s="2"/>
      <x:c r="M101" s="2"/>
      <x:c r="N101" s="2"/>
    </x:row>
    <x:row r="102" ht="23" customHeight="1">
      <x:c r="A102" s="2"/>
      <x:c r="B102" s="2"/>
      <x:c r="C102" s="10"/>
      <x:c r="D102" s="10"/>
      <x:c r="E102" s="10"/>
      <x:c r="F102" s="10"/>
      <x:c r="G102" s="10"/>
      <x:c r="H102" s="10"/>
      <x:c r="I102" s="2"/>
      <x:c r="J102" s="2"/>
      <x:c r="K102" s="2"/>
      <x:c r="L102" s="2"/>
      <x:c r="M102" s="2"/>
      <x:c r="N102" s="2"/>
    </x:row>
    <x:row r="103" ht="23" customHeight="1">
      <x:c r="A103" s="2"/>
      <x:c r="B103" s="2"/>
      <x:c r="C103" s="10"/>
      <x:c r="D103" s="10"/>
      <x:c r="E103" s="10"/>
      <x:c r="F103" s="10"/>
      <x:c r="G103" s="10"/>
      <x:c r="H103" s="10"/>
      <x:c r="I103" s="2"/>
      <x:c r="J103" s="2"/>
      <x:c r="K103" s="2"/>
      <x:c r="L103" s="2"/>
      <x:c r="M103" s="2"/>
      <x:c r="N103" s="2"/>
    </x:row>
    <x:row r="104" ht="23" customHeight="1">
      <x:c r="A104" s="2"/>
      <x:c r="B104" s="2"/>
      <x:c r="C104" s="10"/>
      <x:c r="D104" s="10"/>
      <x:c r="E104" s="10"/>
      <x:c r="F104" s="10"/>
      <x:c r="G104" s="10"/>
      <x:c r="H104" s="10"/>
      <x:c r="I104" s="2"/>
      <x:c r="J104" s="2"/>
      <x:c r="K104" s="2"/>
      <x:c r="L104" s="2"/>
      <x:c r="M104" s="2"/>
      <x:c r="N104" s="2"/>
    </x:row>
    <x:row r="105" ht="23" customHeight="1">
      <x:c r="A105" s="2"/>
      <x:c r="B105" s="2"/>
      <x:c r="C105" s="10"/>
      <x:c r="D105" s="10"/>
      <x:c r="E105" s="10"/>
      <x:c r="F105" s="10"/>
      <x:c r="G105" s="10"/>
      <x:c r="H105" s="10"/>
      <x:c r="I105" s="2"/>
      <x:c r="J105" s="2"/>
      <x:c r="K105" s="2"/>
      <x:c r="L105" s="2"/>
      <x:c r="M105" s="2"/>
      <x:c r="N105" s="2"/>
    </x:row>
    <x:row r="106" ht="23" customHeight="1">
      <x:c r="A106" s="2"/>
      <x:c r="B106" s="2"/>
      <x:c r="C106" s="10"/>
      <x:c r="D106" s="10"/>
      <x:c r="E106" s="10"/>
      <x:c r="F106" s="10"/>
      <x:c r="G106" s="10"/>
      <x:c r="H106" s="10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10"/>
      <x:c r="D107" s="10"/>
      <x:c r="E107" s="10"/>
      <x:c r="F107" s="10"/>
      <x:c r="G107" s="10"/>
      <x:c r="H107" s="10"/>
      <x:c r="I107" s="2"/>
      <x:c r="J107" s="2"/>
      <x:c r="K107" s="2"/>
      <x:c r="L107" s="2"/>
      <x:c r="M107" s="2"/>
      <x:c r="N107" s="2"/>
    </x:row>
    <x:row r="108" ht="23" customHeight="1">
      <x:c r="A108" s="2"/>
      <x:c r="B108" s="2"/>
      <x:c r="C108" s="10"/>
      <x:c r="D108" s="10"/>
      <x:c r="E108" s="10"/>
      <x:c r="F108" s="10"/>
      <x:c r="G108" s="10"/>
      <x:c r="H108" s="10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10"/>
      <x:c r="D109" s="10"/>
      <x:c r="E109" s="10"/>
      <x:c r="F109" s="10"/>
      <x:c r="G109" s="10"/>
      <x:c r="H109" s="10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10"/>
      <x:c r="D110" s="10"/>
      <x:c r="E110" s="10"/>
      <x:c r="F110" s="10"/>
      <x:c r="G110" s="10"/>
      <x:c r="H110" s="10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10"/>
      <x:c r="D111" s="10"/>
      <x:c r="E111" s="10"/>
      <x:c r="F111" s="10"/>
      <x:c r="G111" s="10"/>
      <x:c r="H111" s="10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10"/>
      <x:c r="D112" s="10"/>
      <x:c r="E112" s="10"/>
      <x:c r="F112" s="10"/>
      <x:c r="G112" s="10"/>
      <x:c r="H112" s="10"/>
      <x:c r="I112" s="2"/>
      <x:c r="J112" s="2"/>
      <x:c r="K112" s="2"/>
      <x:c r="L112" s="2"/>
      <x:c r="M112" s="2"/>
      <x:c r="N112" s="2"/>
    </x:row>
    <x:row r="113" ht="23" customHeight="1">
      <x:c r="A113" s="2"/>
      <x:c r="B113" s="2"/>
      <x:c r="C113" s="10"/>
      <x:c r="D113" s="10"/>
      <x:c r="E113" s="10"/>
      <x:c r="F113" s="10"/>
      <x:c r="G113" s="10"/>
      <x:c r="H113" s="10"/>
      <x:c r="I113" s="2"/>
      <x:c r="J113" s="2"/>
      <x:c r="K113" s="2"/>
      <x:c r="L113" s="2"/>
      <x:c r="M113" s="2"/>
      <x:c r="N113" s="2"/>
    </x:row>
    <x:row r="114" ht="23" customHeight="1">
      <x:c r="A114" s="2"/>
      <x:c r="B114" s="2"/>
      <x:c r="C114" s="10"/>
      <x:c r="D114" s="10"/>
      <x:c r="E114" s="10"/>
      <x:c r="F114" s="10"/>
      <x:c r="G114" s="10"/>
      <x:c r="H114" s="10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10"/>
      <x:c r="D115" s="10"/>
      <x:c r="E115" s="10"/>
      <x:c r="F115" s="10"/>
      <x:c r="G115" s="10"/>
      <x:c r="H115" s="10"/>
      <x:c r="I115" s="2"/>
      <x:c r="J115" s="2"/>
      <x:c r="K115" s="2"/>
      <x:c r="L115" s="2"/>
      <x:c r="M115" s="2"/>
      <x:c r="N115" s="2"/>
    </x:row>
    <x:row r="116" ht="23" customHeight="1">
      <x:c r="A116" s="2"/>
      <x:c r="B116" s="2"/>
      <x:c r="C116" s="10"/>
      <x:c r="D116" s="10"/>
      <x:c r="E116" s="10"/>
      <x:c r="F116" s="10"/>
      <x:c r="G116" s="10"/>
      <x:c r="H116" s="10"/>
      <x:c r="I116" s="2"/>
      <x:c r="J116" s="2"/>
      <x:c r="K116" s="2"/>
      <x:c r="L116" s="2"/>
      <x:c r="M116" s="2"/>
      <x:c r="N116" s="2"/>
    </x:row>
    <x:row r="117" ht="23" customHeight="1">
      <x:c r="A117" s="2"/>
      <x:c r="B117" s="2"/>
      <x:c r="C117" s="10"/>
      <x:c r="D117" s="10"/>
      <x:c r="E117" s="10"/>
      <x:c r="F117" s="10"/>
      <x:c r="G117" s="10"/>
      <x:c r="H117" s="10"/>
      <x:c r="I117" s="2"/>
      <x:c r="J117" s="2"/>
      <x:c r="K117" s="2"/>
      <x:c r="L117" s="2"/>
      <x:c r="M117" s="2"/>
      <x:c r="N117" s="2"/>
    </x:row>
    <x:row r="118" ht="23" customHeight="1">
      <x:c r="A118" s="2"/>
      <x:c r="B118" s="2"/>
      <x:c r="C118" s="10"/>
      <x:c r="D118" s="10"/>
      <x:c r="E118" s="10"/>
      <x:c r="F118" s="10"/>
      <x:c r="G118" s="10"/>
      <x:c r="H118" s="10"/>
      <x:c r="I118" s="2"/>
      <x:c r="J118" s="2"/>
      <x:c r="K118" s="2"/>
      <x:c r="L118" s="2"/>
      <x:c r="M118" s="2"/>
      <x:c r="N118" s="2"/>
    </x:row>
    <x:row r="119" ht="23" customHeight="1">
      <x:c r="A119" s="2"/>
      <x:c r="B119" s="2"/>
      <x:c r="C119" s="10"/>
      <x:c r="D119" s="10"/>
      <x:c r="E119" s="10"/>
      <x:c r="F119" s="10"/>
      <x:c r="G119" s="10"/>
      <x:c r="H119" s="10"/>
      <x:c r="I119" s="2"/>
      <x:c r="J119" s="2"/>
      <x:c r="K119" s="2"/>
      <x:c r="L119" s="2"/>
      <x:c r="M119" s="2"/>
      <x:c r="N119" s="2"/>
    </x:row>
    <x:row r="120" ht="23" customHeight="1">
      <x:c r="A120" s="2"/>
      <x:c r="B120" s="2"/>
      <x:c r="C120" s="10"/>
      <x:c r="D120" s="10"/>
      <x:c r="E120" s="10"/>
      <x:c r="F120" s="10"/>
      <x:c r="G120" s="10"/>
      <x:c r="H120" s="10"/>
      <x:c r="I120" s="2"/>
      <x:c r="J120" s="2"/>
      <x:c r="K120" s="2"/>
      <x:c r="L120" s="2"/>
      <x:c r="M120" s="2"/>
      <x:c r="N120" s="2"/>
    </x:row>
    <x:row r="121" ht="23" customHeight="1">
      <x:c r="A121" s="2"/>
      <x:c r="B121" s="2"/>
      <x:c r="C121" s="10"/>
      <x:c r="D121" s="10"/>
      <x:c r="E121" s="10"/>
      <x:c r="F121" s="10"/>
      <x:c r="G121" s="10"/>
      <x:c r="H121" s="10"/>
      <x:c r="I121" s="2"/>
      <x:c r="J121" s="2"/>
      <x:c r="K121" s="2"/>
      <x:c r="L121" s="2"/>
      <x:c r="M121" s="2"/>
      <x:c r="N121" s="2"/>
    </x:row>
    <x:row r="122" ht="23" customHeight="1">
      <x:c r="A122" s="2"/>
      <x:c r="B122" s="2"/>
      <x:c r="C122" s="10"/>
      <x:c r="D122" s="10"/>
      <x:c r="E122" s="10"/>
      <x:c r="F122" s="10"/>
      <x:c r="G122" s="10"/>
      <x:c r="H122" s="10"/>
      <x:c r="I122" s="2"/>
      <x:c r="J122" s="2"/>
      <x:c r="K122" s="2"/>
      <x:c r="L122" s="2"/>
      <x:c r="M122" s="2"/>
      <x:c r="N122" s="2"/>
    </x:row>
    <x:row r="123" ht="23" customHeight="1">
      <x:c r="A123" s="2"/>
      <x:c r="B123" s="2"/>
      <x:c r="C123" s="10"/>
      <x:c r="D123" s="10"/>
      <x:c r="E123" s="10"/>
      <x:c r="F123" s="10"/>
      <x:c r="G123" s="10"/>
      <x:c r="H123" s="10"/>
      <x:c r="I123" s="2"/>
      <x:c r="J123" s="2"/>
      <x:c r="K123" s="2"/>
      <x:c r="L123" s="2"/>
      <x:c r="M123" s="2"/>
      <x:c r="N123" s="2"/>
    </x:row>
    <x:row r="124" ht="23" customHeight="1">
      <x:c r="A124" s="2"/>
      <x:c r="B124" s="2"/>
      <x:c r="C124" s="10"/>
      <x:c r="D124" s="10"/>
      <x:c r="E124" s="10"/>
      <x:c r="F124" s="10"/>
      <x:c r="G124" s="10"/>
      <x:c r="H124" s="10"/>
      <x:c r="I124" s="2"/>
      <x:c r="J124" s="2"/>
      <x:c r="K124" s="2"/>
      <x:c r="L124" s="2"/>
      <x:c r="M124" s="2"/>
      <x:c r="N124" s="2"/>
    </x:row>
    <x:row r="125" ht="23" customHeight="1">
      <x:c r="A125" s="2"/>
      <x:c r="B125" s="2"/>
      <x:c r="C125" s="10"/>
      <x:c r="D125" s="10"/>
      <x:c r="E125" s="10"/>
      <x:c r="F125" s="10"/>
      <x:c r="G125" s="10"/>
      <x:c r="H125" s="10"/>
      <x:c r="I125" s="2"/>
      <x:c r="J125" s="2"/>
      <x:c r="K125" s="2"/>
      <x:c r="L125" s="2"/>
      <x:c r="M125" s="2"/>
      <x:c r="N125" s="2"/>
    </x:row>
    <x:row r="126" ht="23" customHeight="1">
      <x:c r="A126" s="2"/>
      <x:c r="B126" s="2"/>
      <x:c r="C126" s="10"/>
      <x:c r="D126" s="10"/>
      <x:c r="E126" s="10"/>
      <x:c r="F126" s="10"/>
      <x:c r="G126" s="10"/>
      <x:c r="H126" s="10"/>
      <x:c r="I126" s="2"/>
      <x:c r="J126" s="2"/>
      <x:c r="K126" s="2"/>
      <x:c r="L126" s="2"/>
      <x:c r="M126" s="2"/>
      <x:c r="N126" s="2"/>
    </x:row>
    <x:row r="127" ht="23" customHeight="1">
      <x:c r="A127" s="2"/>
      <x:c r="B127" s="2"/>
      <x:c r="C127" s="10"/>
      <x:c r="D127" s="10"/>
      <x:c r="E127" s="10"/>
      <x:c r="F127" s="10"/>
      <x:c r="G127" s="10"/>
      <x:c r="H127" s="10"/>
      <x:c r="I127" s="2"/>
      <x:c r="J127" s="2"/>
      <x:c r="K127" s="2"/>
      <x:c r="L127" s="2"/>
      <x:c r="M127" s="2"/>
      <x:c r="N127" s="2"/>
    </x:row>
    <x:row r="128" ht="23" customHeight="1">
      <x:c r="A128" s="2"/>
      <x:c r="B128" s="2"/>
      <x:c r="C128" s="10"/>
      <x:c r="D128" s="10"/>
      <x:c r="E128" s="10"/>
      <x:c r="F128" s="10"/>
      <x:c r="G128" s="10"/>
      <x:c r="H128" s="10"/>
      <x:c r="I128" s="2"/>
      <x:c r="J128" s="2"/>
      <x:c r="K128" s="2"/>
      <x:c r="L128" s="2"/>
      <x:c r="M128" s="2"/>
      <x:c r="N128" s="2"/>
    </x:row>
    <x:row r="129" ht="23" customHeight="1">
      <x:c r="A129" s="2"/>
      <x:c r="B129" s="2"/>
      <x:c r="C129" s="10"/>
      <x:c r="D129" s="10"/>
      <x:c r="E129" s="10"/>
      <x:c r="F129" s="10"/>
      <x:c r="G129" s="10"/>
      <x:c r="H129" s="10"/>
      <x:c r="I129" s="2"/>
      <x:c r="J129" s="2"/>
      <x:c r="K129" s="2"/>
      <x:c r="L129" s="2"/>
      <x:c r="M129" s="2"/>
      <x:c r="N129" s="2"/>
    </x:row>
    <x:row r="130" ht="23" customHeight="1">
      <x:c r="A130" s="2"/>
      <x:c r="B130" s="2"/>
      <x:c r="C130" s="10"/>
      <x:c r="D130" s="10"/>
      <x:c r="E130" s="10"/>
      <x:c r="F130" s="10"/>
      <x:c r="G130" s="10"/>
      <x:c r="H130" s="10"/>
      <x:c r="I130" s="2"/>
      <x:c r="J130" s="2"/>
      <x:c r="K130" s="2"/>
      <x:c r="L130" s="2"/>
      <x:c r="M130" s="2"/>
      <x:c r="N130" s="2"/>
    </x:row>
    <x:row r="131" ht="23" customHeight="1">
      <x:c r="A131" s="2"/>
      <x:c r="B131" s="2"/>
      <x:c r="C131" s="10"/>
      <x:c r="D131" s="10"/>
      <x:c r="E131" s="10"/>
      <x:c r="F131" s="10"/>
      <x:c r="G131" s="10"/>
      <x:c r="H131" s="10"/>
      <x:c r="I131" s="2"/>
      <x:c r="J131" s="2"/>
      <x:c r="K131" s="2"/>
      <x:c r="L131" s="2"/>
      <x:c r="M131" s="2"/>
      <x:c r="N131" s="2"/>
    </x:row>
    <x:row r="132" ht="23" customHeight="1">
      <x:c r="A132" s="2"/>
      <x:c r="B132" s="2"/>
      <x:c r="C132" s="10"/>
      <x:c r="D132" s="10"/>
      <x:c r="E132" s="10"/>
      <x:c r="F132" s="10"/>
      <x:c r="G132" s="10"/>
      <x:c r="H132" s="10"/>
      <x:c r="I132" s="2"/>
      <x:c r="J132" s="2"/>
      <x:c r="K132" s="2"/>
      <x:c r="L132" s="2"/>
      <x:c r="M132" s="2"/>
      <x:c r="N132" s="2"/>
    </x:row>
    <x:row r="133" ht="23" customHeight="1">
      <x:c r="A133" s="2"/>
      <x:c r="B133" s="2"/>
      <x:c r="C133" s="10"/>
      <x:c r="D133" s="10"/>
      <x:c r="E133" s="10"/>
      <x:c r="F133" s="10"/>
      <x:c r="G133" s="10"/>
      <x:c r="H133" s="10"/>
      <x:c r="I133" s="2"/>
      <x:c r="J133" s="2"/>
      <x:c r="K133" s="2"/>
      <x:c r="L133" s="2"/>
      <x:c r="M133" s="2"/>
      <x:c r="N133" s="2"/>
    </x:row>
    <x:row r="134" ht="23" customHeight="1">
      <x:c r="A134" s="2"/>
      <x:c r="B134" s="2"/>
      <x:c r="C134" s="10"/>
      <x:c r="D134" s="10"/>
      <x:c r="E134" s="10"/>
      <x:c r="F134" s="10"/>
      <x:c r="G134" s="10"/>
      <x:c r="H134" s="10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10"/>
      <x:c r="D135" s="10"/>
      <x:c r="E135" s="10"/>
      <x:c r="F135" s="10"/>
      <x:c r="G135" s="10"/>
      <x:c r="H135" s="10"/>
      <x:c r="I135" s="2"/>
      <x:c r="J135" s="2"/>
      <x:c r="K135" s="2"/>
      <x:c r="L135" s="2"/>
      <x:c r="M135" s="2"/>
      <x:c r="N135" s="2"/>
    </x:row>
    <x:row r="136" ht="23" customHeight="1">
      <x:c r="A136" s="2"/>
      <x:c r="B136" s="2"/>
      <x:c r="C136" s="10"/>
      <x:c r="D136" s="10"/>
      <x:c r="E136" s="10"/>
      <x:c r="F136" s="10"/>
      <x:c r="G136" s="10"/>
      <x:c r="H136" s="10"/>
      <x:c r="I136" s="2"/>
      <x:c r="J136" s="2"/>
      <x:c r="K136" s="2"/>
      <x:c r="L136" s="2"/>
      <x:c r="M136" s="2"/>
      <x:c r="N136" s="2"/>
    </x:row>
    <x:row r="137" ht="23" customHeight="1">
      <x:c r="A137" s="2"/>
      <x:c r="B137" s="2"/>
      <x:c r="C137" s="10"/>
      <x:c r="D137" s="10"/>
      <x:c r="E137" s="10"/>
      <x:c r="F137" s="10"/>
      <x:c r="G137" s="10"/>
      <x:c r="H137" s="10"/>
      <x:c r="I137" s="2"/>
      <x:c r="J137" s="2"/>
      <x:c r="K137" s="2"/>
      <x:c r="L137" s="2"/>
      <x:c r="M137" s="2"/>
      <x:c r="N137" s="2"/>
    </x:row>
    <x:row r="138" ht="23" customHeight="1">
      <x:c r="A138" s="2"/>
      <x:c r="B138" s="2"/>
      <x:c r="C138" s="10"/>
      <x:c r="D138" s="10"/>
      <x:c r="E138" s="10"/>
      <x:c r="F138" s="10"/>
      <x:c r="G138" s="10"/>
      <x:c r="H138" s="10"/>
      <x:c r="I138" s="2"/>
      <x:c r="J138" s="2"/>
      <x:c r="K138" s="2"/>
      <x:c r="L138" s="2"/>
      <x:c r="M138" s="2"/>
      <x:c r="N138" s="2"/>
    </x:row>
    <x:row r="139" ht="23" customHeight="1">
      <x:c r="A139" s="2"/>
      <x:c r="B139" s="2"/>
      <x:c r="C139" s="10"/>
      <x:c r="D139" s="10"/>
      <x:c r="E139" s="10"/>
      <x:c r="F139" s="10"/>
      <x:c r="G139" s="10"/>
      <x:c r="H139" s="10"/>
      <x:c r="I139" s="2"/>
      <x:c r="J139" s="2"/>
      <x:c r="K139" s="2"/>
      <x:c r="L139" s="2"/>
      <x:c r="M139" s="2"/>
      <x:c r="N139" s="2"/>
    </x:row>
    <x:row r="140" ht="23" customHeight="1">
      <x:c r="A140" s="2"/>
      <x:c r="B140" s="2"/>
      <x:c r="C140" s="10"/>
      <x:c r="D140" s="10"/>
      <x:c r="E140" s="10"/>
      <x:c r="F140" s="10"/>
      <x:c r="G140" s="10"/>
      <x:c r="H140" s="10"/>
      <x:c r="I140" s="2"/>
      <x:c r="J140" s="2"/>
      <x:c r="K140" s="2"/>
      <x:c r="L140" s="2"/>
      <x:c r="M140" s="2"/>
      <x:c r="N140" s="2"/>
    </x:row>
    <x:row r="141" ht="23" customHeight="1">
      <x:c r="A141" s="2"/>
      <x:c r="B141" s="2"/>
      <x:c r="C141" s="10"/>
      <x:c r="D141" s="10"/>
      <x:c r="E141" s="10"/>
      <x:c r="F141" s="10"/>
      <x:c r="G141" s="10"/>
      <x:c r="H141" s="10"/>
      <x:c r="I141" s="2"/>
      <x:c r="J141" s="2"/>
      <x:c r="K141" s="2"/>
      <x:c r="L141" s="2"/>
      <x:c r="M141" s="2"/>
      <x:c r="N141" s="2"/>
    </x:row>
    <x:row r="142" ht="23" customHeight="1">
      <x:c r="A142" s="2"/>
      <x:c r="B142" s="2"/>
      <x:c r="C142" s="10"/>
      <x:c r="D142" s="10"/>
      <x:c r="E142" s="10"/>
      <x:c r="F142" s="10"/>
      <x:c r="G142" s="10"/>
      <x:c r="H142" s="10"/>
      <x:c r="I142" s="2"/>
      <x:c r="J142" s="2"/>
      <x:c r="K142" s="2"/>
      <x:c r="L142" s="2"/>
      <x:c r="M142" s="2"/>
      <x:c r="N142" s="2"/>
    </x:row>
    <x:row r="143" ht="23" customHeight="1">
      <x:c r="A143" s="2"/>
      <x:c r="B143" s="2"/>
      <x:c r="C143" s="10"/>
      <x:c r="D143" s="10"/>
      <x:c r="E143" s="10"/>
      <x:c r="F143" s="10"/>
      <x:c r="G143" s="10"/>
      <x:c r="H143" s="10"/>
      <x:c r="I143" s="2"/>
      <x:c r="J143" s="2"/>
      <x:c r="K143" s="2"/>
      <x:c r="L143" s="2"/>
      <x:c r="M143" s="2"/>
      <x:c r="N143" s="2"/>
    </x:row>
    <x:row r="144" ht="23" customHeight="1">
      <x:c r="A144" s="2"/>
      <x:c r="B144" s="2"/>
      <x:c r="C144" s="10"/>
      <x:c r="D144" s="10"/>
      <x:c r="E144" s="10"/>
      <x:c r="F144" s="10"/>
      <x:c r="G144" s="10"/>
      <x:c r="H144" s="10"/>
      <x:c r="I144" s="2"/>
      <x:c r="J144" s="2"/>
      <x:c r="K144" s="2"/>
      <x:c r="L144" s="2"/>
      <x:c r="M144" s="2"/>
      <x:c r="N144" s="2"/>
    </x:row>
    <x:row r="145" ht="23" customHeight="1">
      <x:c r="A145" s="2"/>
      <x:c r="B145" s="2"/>
      <x:c r="C145" s="10"/>
      <x:c r="D145" s="10"/>
      <x:c r="E145" s="10"/>
      <x:c r="F145" s="10"/>
      <x:c r="G145" s="10"/>
      <x:c r="H145" s="10"/>
      <x:c r="I145" s="2"/>
      <x:c r="J145" s="2"/>
      <x:c r="K145" s="2"/>
      <x:c r="L145" s="2"/>
      <x:c r="M145" s="2"/>
      <x:c r="N145" s="2"/>
    </x:row>
    <x:row r="146" ht="23" customHeight="1">
      <x:c r="A146" s="2"/>
      <x:c r="B146" s="2"/>
      <x:c r="C146" s="10"/>
      <x:c r="D146" s="10"/>
      <x:c r="E146" s="10"/>
      <x:c r="F146" s="10"/>
      <x:c r="G146" s="10"/>
      <x:c r="H146" s="10"/>
      <x:c r="I146" s="2"/>
      <x:c r="J146" s="2"/>
      <x:c r="K146" s="2"/>
      <x:c r="L146" s="2"/>
      <x:c r="M146" s="2"/>
      <x:c r="N146" s="2"/>
    </x:row>
    <x:row r="147" ht="23" customHeight="1">
      <x:c r="A147" s="2"/>
      <x:c r="B147" s="2"/>
      <x:c r="C147" s="10"/>
      <x:c r="D147" s="10"/>
      <x:c r="E147" s="10"/>
      <x:c r="F147" s="10"/>
      <x:c r="G147" s="10"/>
      <x:c r="H147" s="10"/>
      <x:c r="I147" s="2"/>
      <x:c r="J147" s="2"/>
      <x:c r="K147" s="2"/>
      <x:c r="L147" s="2"/>
      <x:c r="M147" s="2"/>
      <x:c r="N147" s="2"/>
    </x:row>
    <x:row r="148" ht="23" customHeight="1">
      <x:c r="A148" s="2"/>
      <x:c r="B148" s="2"/>
      <x:c r="C148" s="10"/>
      <x:c r="D148" s="10"/>
      <x:c r="E148" s="10"/>
      <x:c r="F148" s="10"/>
      <x:c r="G148" s="10"/>
      <x:c r="H148" s="10"/>
      <x:c r="I148" s="2"/>
      <x:c r="J148" s="2"/>
      <x:c r="K148" s="2"/>
      <x:c r="L148" s="2"/>
      <x:c r="M148" s="2"/>
      <x:c r="N148" s="2"/>
    </x:row>
    <x:row r="149" ht="23" customHeight="1">
      <x:c r="A149" s="2"/>
      <x:c r="B149" s="2"/>
      <x:c r="C149" s="10"/>
      <x:c r="D149" s="10"/>
      <x:c r="E149" s="10"/>
      <x:c r="F149" s="10"/>
      <x:c r="G149" s="10"/>
      <x:c r="H149" s="10"/>
      <x:c r="I149" s="2"/>
      <x:c r="J149" s="2"/>
      <x:c r="K149" s="2"/>
      <x:c r="L149" s="2"/>
      <x:c r="M149" s="2"/>
      <x:c r="N149" s="2"/>
    </x:row>
    <x:row r="150" ht="23" customHeight="1">
      <x:c r="A150" s="2"/>
      <x:c r="B150" s="2"/>
      <x:c r="C150" s="10"/>
      <x:c r="D150" s="10"/>
      <x:c r="E150" s="10"/>
      <x:c r="F150" s="10"/>
      <x:c r="G150" s="10"/>
      <x:c r="H150" s="10"/>
      <x:c r="I150" s="2"/>
      <x:c r="J150" s="2"/>
      <x:c r="K150" s="2"/>
      <x:c r="L150" s="2"/>
      <x:c r="M150" s="2"/>
      <x:c r="N150" s="2"/>
    </x:row>
    <x:row r="151" ht="23" customHeight="1">
      <x:c r="A151" s="2"/>
      <x:c r="B151" s="2"/>
      <x:c r="C151" s="10"/>
      <x:c r="D151" s="10"/>
      <x:c r="E151" s="10"/>
      <x:c r="F151" s="10"/>
      <x:c r="G151" s="10"/>
      <x:c r="H151" s="10"/>
      <x:c r="I151" s="2"/>
      <x:c r="J151" s="2"/>
      <x:c r="K151" s="2"/>
      <x:c r="L151" s="2"/>
      <x:c r="M151" s="2"/>
      <x:c r="N151" s="2"/>
    </x:row>
    <x:row r="152" ht="23" customHeight="1">
      <x:c r="A152" s="2"/>
      <x:c r="B152" s="2"/>
      <x:c r="C152" s="10"/>
      <x:c r="D152" s="10"/>
      <x:c r="E152" s="10"/>
      <x:c r="F152" s="10"/>
      <x:c r="G152" s="10"/>
      <x:c r="H152" s="10"/>
      <x:c r="I152" s="2"/>
      <x:c r="J152" s="2"/>
      <x:c r="K152" s="2"/>
      <x:c r="L152" s="2"/>
      <x:c r="M152" s="2"/>
      <x:c r="N152" s="2"/>
    </x:row>
    <x:row r="153" ht="23" customHeight="1">
      <x:c r="A153" s="2"/>
      <x:c r="B153" s="2"/>
      <x:c r="C153" s="10"/>
      <x:c r="D153" s="10"/>
      <x:c r="E153" s="10"/>
      <x:c r="F153" s="10"/>
      <x:c r="G153" s="10"/>
      <x:c r="H153" s="10"/>
      <x:c r="I153" s="2"/>
      <x:c r="J153" s="2"/>
      <x:c r="K153" s="2"/>
      <x:c r="L153" s="2"/>
      <x:c r="M153" s="2"/>
      <x:c r="N153" s="2"/>
    </x:row>
    <x:row r="154" ht="23" customHeight="1">
      <x:c r="A154" s="2"/>
      <x:c r="B154" s="2"/>
      <x:c r="C154" s="10"/>
      <x:c r="D154" s="10"/>
      <x:c r="E154" s="10"/>
      <x:c r="F154" s="10"/>
      <x:c r="G154" s="10"/>
      <x:c r="H154" s="10"/>
      <x:c r="I154" s="2"/>
      <x:c r="J154" s="2"/>
      <x:c r="K154" s="2"/>
      <x:c r="L154" s="2"/>
      <x:c r="M154" s="2"/>
      <x:c r="N154" s="2"/>
    </x:row>
    <x:row r="155" ht="23" customHeight="1">
      <x:c r="A155" s="2"/>
      <x:c r="B155" s="2"/>
      <x:c r="C155" s="10"/>
      <x:c r="D155" s="10"/>
      <x:c r="E155" s="10"/>
      <x:c r="F155" s="10"/>
      <x:c r="G155" s="10"/>
      <x:c r="H155" s="10"/>
      <x:c r="I155" s="2"/>
      <x:c r="J155" s="2"/>
      <x:c r="K155" s="2"/>
      <x:c r="L155" s="2"/>
      <x:c r="M155" s="2"/>
      <x:c r="N155" s="2"/>
    </x:row>
    <x:row r="156" ht="23" customHeight="1">
      <x:c r="A156" s="2"/>
      <x:c r="B156" s="2"/>
      <x:c r="C156" s="10"/>
      <x:c r="D156" s="10"/>
      <x:c r="E156" s="10"/>
      <x:c r="F156" s="10"/>
      <x:c r="G156" s="10"/>
      <x:c r="H156" s="10"/>
      <x:c r="I156" s="2"/>
      <x:c r="J156" s="2"/>
      <x:c r="K156" s="2"/>
      <x:c r="L156" s="2"/>
      <x:c r="M156" s="2"/>
      <x:c r="N156" s="2"/>
    </x:row>
    <x:row r="157" ht="23" customHeight="1">
      <x:c r="A157" s="2"/>
      <x:c r="B157" s="2"/>
      <x:c r="C157" s="10"/>
      <x:c r="D157" s="10"/>
      <x:c r="E157" s="10"/>
      <x:c r="F157" s="10"/>
      <x:c r="G157" s="10"/>
      <x:c r="H157" s="10"/>
      <x:c r="I157" s="2"/>
      <x:c r="J157" s="2"/>
      <x:c r="K157" s="2"/>
      <x:c r="L157" s="2"/>
      <x:c r="M157" s="2"/>
      <x:c r="N157" s="2"/>
    </x:row>
    <x:row r="158" ht="23" customHeight="1">
      <x:c r="A158" s="2"/>
      <x:c r="B158" s="2"/>
      <x:c r="C158" s="10"/>
      <x:c r="D158" s="10"/>
      <x:c r="E158" s="10"/>
      <x:c r="F158" s="10"/>
      <x:c r="G158" s="10"/>
      <x:c r="H158" s="10"/>
      <x:c r="I158" s="2"/>
      <x:c r="J158" s="2"/>
      <x:c r="K158" s="2"/>
      <x:c r="L158" s="2"/>
      <x:c r="M158" s="2"/>
      <x:c r="N158" s="2"/>
    </x:row>
    <x:row r="159" ht="23" customHeight="1">
      <x:c r="A159" s="2"/>
      <x:c r="B159" s="2"/>
      <x:c r="C159" s="10"/>
      <x:c r="D159" s="10"/>
      <x:c r="E159" s="10"/>
      <x:c r="F159" s="10"/>
      <x:c r="G159" s="10"/>
      <x:c r="H159" s="10"/>
      <x:c r="I159" s="2"/>
      <x:c r="J159" s="2"/>
      <x:c r="K159" s="2"/>
      <x:c r="L159" s="2"/>
      <x:c r="M159" s="2"/>
      <x:c r="N159" s="2"/>
    </x:row>
    <x:row r="160" ht="23" customHeight="1">
      <x:c r="A160" s="2"/>
      <x:c r="B160" s="2"/>
      <x:c r="C160" s="10"/>
      <x:c r="D160" s="10"/>
      <x:c r="E160" s="10"/>
      <x:c r="F160" s="10"/>
      <x:c r="G160" s="10"/>
      <x:c r="H160" s="10"/>
      <x:c r="I160" s="2"/>
      <x:c r="J160" s="2"/>
      <x:c r="K160" s="2"/>
      <x:c r="L160" s="2"/>
      <x:c r="M160" s="2"/>
      <x:c r="N160" s="2"/>
    </x:row>
    <x:row r="161" ht="23" customHeight="1">
      <x:c r="A161" s="2"/>
      <x:c r="B161" s="2"/>
      <x:c r="C161" s="10"/>
      <x:c r="D161" s="10"/>
      <x:c r="E161" s="10"/>
      <x:c r="F161" s="10"/>
      <x:c r="G161" s="10"/>
      <x:c r="H161" s="10"/>
      <x:c r="I161" s="2"/>
      <x:c r="J161" s="2"/>
      <x:c r="K161" s="2"/>
      <x:c r="L161" s="2"/>
      <x:c r="M161" s="2"/>
      <x:c r="N161" s="2"/>
    </x:row>
    <x:row r="162" ht="23" customHeight="1">
      <x:c r="A162" s="2"/>
      <x:c r="B162" s="2"/>
      <x:c r="C162" s="10"/>
      <x:c r="D162" s="10"/>
      <x:c r="E162" s="10"/>
      <x:c r="F162" s="10"/>
      <x:c r="G162" s="10"/>
      <x:c r="H162" s="10"/>
      <x:c r="I162" s="2"/>
      <x:c r="J162" s="2"/>
      <x:c r="K162" s="2"/>
      <x:c r="L162" s="2"/>
      <x:c r="M162" s="2"/>
      <x:c r="N162" s="2"/>
    </x:row>
    <x:row r="163" ht="23" customHeight="1">
      <x:c r="A163" s="2"/>
      <x:c r="B163" s="2"/>
      <x:c r="C163" s="10"/>
      <x:c r="D163" s="10"/>
      <x:c r="E163" s="10"/>
      <x:c r="F163" s="10"/>
      <x:c r="G163" s="10"/>
      <x:c r="H163" s="10"/>
      <x:c r="I163" s="2"/>
      <x:c r="J163" s="2"/>
      <x:c r="K163" s="2"/>
      <x:c r="L163" s="2"/>
      <x:c r="M163" s="2"/>
      <x:c r="N163" s="2"/>
    </x:row>
    <x:row r="164" ht="23" customHeight="1">
      <x:c r="A164" s="2"/>
      <x:c r="B164" s="2"/>
      <x:c r="C164" s="10"/>
      <x:c r="D164" s="10"/>
      <x:c r="E164" s="10"/>
      <x:c r="F164" s="10"/>
      <x:c r="G164" s="10"/>
      <x:c r="H164" s="10"/>
      <x:c r="I164" s="2"/>
      <x:c r="J164" s="2"/>
      <x:c r="K164" s="2"/>
      <x:c r="L164" s="2"/>
      <x:c r="M164" s="2"/>
      <x:c r="N164" s="2"/>
    </x:row>
    <x:row r="165" ht="23" customHeight="1">
      <x:c r="A165" s="2"/>
      <x:c r="B165" s="2"/>
      <x:c r="C165" s="10"/>
      <x:c r="D165" s="10"/>
      <x:c r="E165" s="10"/>
      <x:c r="F165" s="10"/>
      <x:c r="G165" s="10"/>
      <x:c r="H165" s="10"/>
      <x:c r="I165" s="2"/>
      <x:c r="J165" s="2"/>
      <x:c r="K165" s="2"/>
      <x:c r="L165" s="2"/>
      <x:c r="M165" s="2"/>
      <x:c r="N165" s="2"/>
    </x:row>
    <x:row r="166" ht="23" customHeight="1">
      <x:c r="A166" s="2"/>
      <x:c r="B166" s="2"/>
      <x:c r="C166" s="10"/>
      <x:c r="D166" s="10"/>
      <x:c r="E166" s="10"/>
      <x:c r="F166" s="10"/>
      <x:c r="G166" s="10"/>
      <x:c r="H166" s="10"/>
      <x:c r="I166" s="2"/>
      <x:c r="J166" s="2"/>
      <x:c r="K166" s="2"/>
      <x:c r="L166" s="2"/>
      <x:c r="M166" s="2"/>
      <x:c r="N166" s="2"/>
    </x:row>
    <x:row r="167" ht="23" customHeight="1">
      <x:c r="A167" s="2"/>
      <x:c r="B167" s="2"/>
      <x:c r="C167" s="10"/>
      <x:c r="D167" s="10"/>
      <x:c r="E167" s="10"/>
      <x:c r="F167" s="10"/>
      <x:c r="G167" s="10"/>
      <x:c r="H167" s="10"/>
      <x:c r="I167" s="2"/>
      <x:c r="J167" s="2"/>
      <x:c r="K167" s="2"/>
      <x:c r="L167" s="2"/>
      <x:c r="M167" s="2"/>
      <x:c r="N167" s="2"/>
    </x:row>
    <x:row r="168" ht="23" customHeight="1">
      <x:c r="A168" s="2"/>
      <x:c r="B168" s="2"/>
      <x:c r="C168" s="10"/>
      <x:c r="D168" s="10"/>
      <x:c r="E168" s="10"/>
      <x:c r="F168" s="10"/>
      <x:c r="G168" s="10"/>
      <x:c r="H168" s="10"/>
      <x:c r="I168" s="2"/>
      <x:c r="J168" s="2"/>
      <x:c r="K168" s="2"/>
      <x:c r="L168" s="2"/>
      <x:c r="M168" s="2"/>
      <x:c r="N168" s="2"/>
    </x:row>
    <x:row r="169" ht="23" customHeight="1">
      <x:c r="A169" s="2"/>
      <x:c r="B169" s="2"/>
      <x:c r="C169" s="10"/>
      <x:c r="D169" s="10"/>
      <x:c r="E169" s="10"/>
      <x:c r="F169" s="10"/>
      <x:c r="G169" s="10"/>
      <x:c r="H169" s="10"/>
      <x:c r="I169" s="2"/>
      <x:c r="J169" s="2"/>
      <x:c r="K169" s="2"/>
      <x:c r="L169" s="2"/>
      <x:c r="M169" s="2"/>
      <x:c r="N169" s="2"/>
    </x:row>
    <x:row r="170" ht="23" customHeight="1">
      <x:c r="A170" s="2"/>
      <x:c r="B170" s="2"/>
      <x:c r="C170" s="10"/>
      <x:c r="D170" s="10"/>
      <x:c r="E170" s="10"/>
      <x:c r="F170" s="10"/>
      <x:c r="G170" s="10"/>
      <x:c r="H170" s="10"/>
      <x:c r="I170" s="2"/>
      <x:c r="J170" s="2"/>
      <x:c r="K170" s="2"/>
      <x:c r="L170" s="2"/>
      <x:c r="M170" s="2"/>
      <x:c r="N170" s="2"/>
    </x:row>
    <x:row r="171" ht="23" customHeight="1">
      <x:c r="A171" s="2"/>
      <x:c r="B171" s="2"/>
      <x:c r="C171" s="10"/>
      <x:c r="D171" s="10"/>
      <x:c r="E171" s="10"/>
      <x:c r="F171" s="10"/>
      <x:c r="G171" s="10"/>
      <x:c r="H171" s="10"/>
      <x:c r="I171" s="2"/>
      <x:c r="J171" s="2"/>
      <x:c r="K171" s="2"/>
      <x:c r="L171" s="2"/>
      <x:c r="M171" s="2"/>
      <x:c r="N171" s="2"/>
    </x:row>
    <x:row r="172" ht="23" customHeight="1">
      <x:c r="A172" s="2"/>
      <x:c r="B172" s="2"/>
      <x:c r="C172" s="10"/>
      <x:c r="D172" s="10"/>
      <x:c r="E172" s="10"/>
      <x:c r="F172" s="10"/>
      <x:c r="G172" s="10"/>
      <x:c r="H172" s="10"/>
      <x:c r="I172" s="2"/>
      <x:c r="J172" s="2"/>
      <x:c r="K172" s="2"/>
      <x:c r="L172" s="2"/>
      <x:c r="M172" s="2"/>
      <x:c r="N172" s="2"/>
    </x:row>
    <x:row r="173" ht="23" customHeight="1">
      <x:c r="A173" s="2"/>
      <x:c r="B173" s="2"/>
      <x:c r="C173" s="10"/>
      <x:c r="D173" s="10"/>
      <x:c r="E173" s="10"/>
      <x:c r="F173" s="10"/>
      <x:c r="G173" s="10"/>
      <x:c r="H173" s="10"/>
      <x:c r="I173" s="2"/>
      <x:c r="J173" s="2"/>
      <x:c r="K173" s="2"/>
      <x:c r="L173" s="2"/>
      <x:c r="M173" s="2"/>
      <x:c r="N173" s="2"/>
    </x:row>
    <x:row r="174" ht="23" customHeight="1">
      <x:c r="A174" s="2"/>
      <x:c r="B174" s="2"/>
      <x:c r="C174" s="10"/>
      <x:c r="D174" s="10"/>
      <x:c r="E174" s="10"/>
      <x:c r="F174" s="10"/>
      <x:c r="G174" s="10"/>
      <x:c r="H174" s="10"/>
      <x:c r="I174" s="2"/>
      <x:c r="J174" s="2"/>
      <x:c r="K174" s="2"/>
      <x:c r="L174" s="2"/>
      <x:c r="M174" s="2"/>
      <x:c r="N174" s="2"/>
    </x:row>
    <x:row r="175" ht="23" customHeight="1">
      <x:c r="A175" s="2"/>
      <x:c r="B175" s="2"/>
      <x:c r="C175" s="10"/>
      <x:c r="D175" s="10"/>
      <x:c r="E175" s="10"/>
      <x:c r="F175" s="10"/>
      <x:c r="G175" s="10"/>
      <x:c r="H175" s="10"/>
      <x:c r="I175" s="2"/>
      <x:c r="J175" s="2"/>
      <x:c r="K175" s="2"/>
      <x:c r="L175" s="2"/>
      <x:c r="M175" s="2"/>
      <x:c r="N175" s="2"/>
    </x:row>
    <x:row r="176" ht="23" customHeight="1">
      <x:c r="A176" s="2"/>
      <x:c r="B176" s="2"/>
      <x:c r="C176" s="10"/>
      <x:c r="D176" s="10"/>
      <x:c r="E176" s="10"/>
      <x:c r="F176" s="10"/>
      <x:c r="G176" s="10"/>
      <x:c r="H176" s="10"/>
      <x:c r="I176" s="2"/>
      <x:c r="J176" s="2"/>
      <x:c r="K176" s="2"/>
      <x:c r="L176" s="2"/>
      <x:c r="M176" s="2"/>
      <x:c r="N176" s="2"/>
    </x:row>
    <x:row r="177" ht="23" customHeight="1">
      <x:c r="A177" s="2"/>
      <x:c r="B177" s="2"/>
      <x:c r="C177" s="10"/>
      <x:c r="D177" s="10"/>
      <x:c r="E177" s="10"/>
      <x:c r="F177" s="10"/>
      <x:c r="G177" s="10"/>
      <x:c r="H177" s="10"/>
      <x:c r="I177" s="2"/>
      <x:c r="J177" s="2"/>
      <x:c r="K177" s="2"/>
      <x:c r="L177" s="2"/>
      <x:c r="M177" s="2"/>
      <x:c r="N177" s="2"/>
    </x:row>
    <x:row r="178" ht="23" customHeight="1">
      <x:c r="A178" s="2"/>
      <x:c r="B178" s="2"/>
      <x:c r="C178" s="10"/>
      <x:c r="D178" s="10"/>
      <x:c r="E178" s="10"/>
      <x:c r="F178" s="10"/>
      <x:c r="G178" s="10"/>
      <x:c r="H178" s="10"/>
      <x:c r="I178" s="2"/>
      <x:c r="J178" s="2"/>
      <x:c r="K178" s="2"/>
      <x:c r="L178" s="2"/>
      <x:c r="M178" s="2"/>
      <x:c r="N178" s="2"/>
    </x:row>
    <x:row r="179" ht="23" customHeight="1">
      <x:c r="A179" s="2"/>
      <x:c r="B179" s="2"/>
      <x:c r="C179" s="10"/>
      <x:c r="D179" s="10"/>
      <x:c r="E179" s="10"/>
      <x:c r="F179" s="10"/>
      <x:c r="G179" s="10"/>
      <x:c r="H179" s="10"/>
      <x:c r="I179" s="2"/>
      <x:c r="J179" s="2"/>
      <x:c r="K179" s="2"/>
      <x:c r="L179" s="2"/>
      <x:c r="M179" s="2"/>
      <x:c r="N179" s="2"/>
    </x:row>
    <x:row r="180" ht="23" customHeight="1">
      <x:c r="A180" s="2"/>
      <x:c r="B180" s="2"/>
      <x:c r="C180" s="10"/>
      <x:c r="D180" s="10"/>
      <x:c r="E180" s="10"/>
      <x:c r="F180" s="10"/>
      <x:c r="G180" s="10"/>
      <x:c r="H180" s="10"/>
      <x:c r="I180" s="2"/>
      <x:c r="J180" s="2"/>
      <x:c r="K180" s="2"/>
      <x:c r="L180" s="2"/>
      <x:c r="M180" s="2"/>
      <x:c r="N180" s="2"/>
    </x:row>
    <x:row r="181" ht="23" customHeight="1">
      <x:c r="A181" s="2"/>
      <x:c r="B181" s="2"/>
      <x:c r="C181" s="10"/>
      <x:c r="D181" s="10"/>
      <x:c r="E181" s="10"/>
      <x:c r="F181" s="10"/>
      <x:c r="G181" s="10"/>
      <x:c r="H181" s="10"/>
      <x:c r="I181" s="2"/>
      <x:c r="J181" s="2"/>
      <x:c r="K181" s="2"/>
      <x:c r="L181" s="2"/>
      <x:c r="M181" s="2"/>
      <x:c r="N181" s="2"/>
    </x:row>
    <x:row r="182" ht="23" customHeight="1">
      <x:c r="A182" s="2"/>
      <x:c r="B182" s="2"/>
      <x:c r="C182" s="10"/>
      <x:c r="D182" s="10"/>
      <x:c r="E182" s="10"/>
      <x:c r="F182" s="10"/>
      <x:c r="G182" s="10"/>
      <x:c r="H182" s="10"/>
      <x:c r="I182" s="2"/>
      <x:c r="J182" s="2"/>
      <x:c r="K182" s="2"/>
      <x:c r="L182" s="2"/>
      <x:c r="M182" s="2"/>
      <x:c r="N182" s="2"/>
    </x:row>
    <x:row r="183" ht="23" customHeight="1">
      <x:c r="A183" s="2"/>
      <x:c r="B183" s="2"/>
      <x:c r="C183" s="10"/>
      <x:c r="D183" s="10"/>
      <x:c r="E183" s="10"/>
      <x:c r="F183" s="10"/>
      <x:c r="G183" s="10"/>
      <x:c r="H183" s="10"/>
      <x:c r="I183" s="2"/>
      <x:c r="J183" s="2"/>
      <x:c r="K183" s="2"/>
      <x:c r="L183" s="2"/>
      <x:c r="M183" s="2"/>
      <x:c r="N183" s="2"/>
    </x:row>
    <x:row r="184" ht="23" customHeight="1">
      <x:c r="A184" s="2"/>
      <x:c r="B184" s="2"/>
      <x:c r="C184" s="10"/>
      <x:c r="D184" s="10"/>
      <x:c r="E184" s="10"/>
      <x:c r="F184" s="10"/>
      <x:c r="G184" s="10"/>
      <x:c r="H184" s="10"/>
      <x:c r="I184" s="2"/>
      <x:c r="J184" s="2"/>
      <x:c r="K184" s="2"/>
      <x:c r="L184" s="2"/>
      <x:c r="M184" s="2"/>
      <x:c r="N184" s="2"/>
    </x:row>
    <x:row r="185" ht="23" customHeight="1">
      <x:c r="A185" s="2"/>
      <x:c r="B185" s="2"/>
      <x:c r="C185" s="10"/>
      <x:c r="D185" s="10"/>
      <x:c r="E185" s="10"/>
      <x:c r="F185" s="10"/>
      <x:c r="G185" s="10"/>
      <x:c r="H185" s="10"/>
      <x:c r="I185" s="2"/>
      <x:c r="J185" s="2"/>
      <x:c r="K185" s="2"/>
      <x:c r="L185" s="2"/>
      <x:c r="M185" s="2"/>
      <x:c r="N185" s="2"/>
    </x:row>
    <x:row r="186" ht="23" customHeight="1">
      <x:c r="A186" s="2"/>
      <x:c r="B186" s="2"/>
      <x:c r="C186" s="10"/>
      <x:c r="D186" s="10"/>
      <x:c r="E186" s="10"/>
      <x:c r="F186" s="10"/>
      <x:c r="G186" s="10"/>
      <x:c r="H186" s="10"/>
      <x:c r="I186" s="2"/>
      <x:c r="J186" s="2"/>
      <x:c r="K186" s="2"/>
      <x:c r="L186" s="2"/>
      <x:c r="M186" s="2"/>
      <x:c r="N186" s="2"/>
    </x:row>
    <x:row r="187" ht="23" customHeight="1">
      <x:c r="A187" s="2"/>
      <x:c r="B187" s="2"/>
      <x:c r="C187" s="10"/>
      <x:c r="D187" s="10"/>
      <x:c r="E187" s="10"/>
      <x:c r="F187" s="10"/>
      <x:c r="G187" s="10"/>
      <x:c r="H187" s="10"/>
      <x:c r="I187" s="2"/>
      <x:c r="J187" s="2"/>
      <x:c r="K187" s="2"/>
      <x:c r="L187" s="2"/>
      <x:c r="M187" s="2"/>
      <x:c r="N187" s="2"/>
    </x:row>
    <x:row r="188" ht="23" customHeight="1">
      <x:c r="A188" s="2"/>
      <x:c r="B188" s="2"/>
      <x:c r="C188" s="10"/>
      <x:c r="D188" s="10"/>
      <x:c r="E188" s="10"/>
      <x:c r="F188" s="10"/>
      <x:c r="G188" s="10"/>
      <x:c r="H188" s="10"/>
      <x:c r="I188" s="2"/>
      <x:c r="J188" s="2"/>
      <x:c r="K188" s="2"/>
      <x:c r="L188" s="2"/>
      <x:c r="M188" s="2"/>
      <x:c r="N188" s="2"/>
    </x:row>
    <x:row r="189" ht="23" customHeight="1">
      <x:c r="A189" s="2"/>
      <x:c r="B189" s="2"/>
      <x:c r="C189" s="10"/>
      <x:c r="D189" s="10"/>
      <x:c r="E189" s="10"/>
      <x:c r="F189" s="10"/>
      <x:c r="G189" s="10"/>
      <x:c r="H189" s="10"/>
      <x:c r="I189" s="2"/>
      <x:c r="J189" s="2"/>
      <x:c r="K189" s="2"/>
      <x:c r="L189" s="2"/>
      <x:c r="M189" s="2"/>
      <x:c r="N189" s="2"/>
    </x:row>
    <x:row r="190" ht="23" customHeight="1">
      <x:c r="A190" s="2"/>
      <x:c r="B190" s="2"/>
      <x:c r="C190" s="10"/>
      <x:c r="D190" s="10"/>
      <x:c r="E190" s="10"/>
      <x:c r="F190" s="10"/>
      <x:c r="G190" s="10"/>
      <x:c r="H190" s="10"/>
      <x:c r="I190" s="2"/>
      <x:c r="J190" s="2"/>
      <x:c r="K190" s="2"/>
      <x:c r="L190" s="2"/>
      <x:c r="M190" s="2"/>
      <x:c r="N190" s="2"/>
    </x:row>
    <x:row r="191" ht="23" customHeight="1">
      <x:c r="A191" s="2"/>
      <x:c r="B191" s="2"/>
      <x:c r="C191" s="10"/>
      <x:c r="D191" s="10"/>
      <x:c r="E191" s="10"/>
      <x:c r="F191" s="10"/>
      <x:c r="G191" s="10"/>
      <x:c r="H191" s="10"/>
      <x:c r="I191" s="2"/>
      <x:c r="J191" s="2"/>
      <x:c r="K191" s="2"/>
      <x:c r="L191" s="2"/>
      <x:c r="M191" s="2"/>
      <x:c r="N191" s="2"/>
    </x:row>
    <x:row r="192" ht="23" customHeight="1">
      <x:c r="A192" s="2"/>
      <x:c r="B192" s="2"/>
      <x:c r="C192" s="10"/>
      <x:c r="D192" s="10"/>
      <x:c r="E192" s="10"/>
      <x:c r="F192" s="10"/>
      <x:c r="G192" s="10"/>
      <x:c r="H192" s="10"/>
      <x:c r="I192" s="2"/>
      <x:c r="J192" s="2"/>
      <x:c r="K192" s="2"/>
      <x:c r="L192" s="2"/>
      <x:c r="M192" s="2"/>
      <x:c r="N192" s="2"/>
    </x:row>
    <x:row r="193" ht="23" customHeight="1">
      <x:c r="A193" s="2"/>
      <x:c r="B193" s="2"/>
      <x:c r="C193" s="10"/>
      <x:c r="D193" s="10"/>
      <x:c r="E193" s="10"/>
      <x:c r="F193" s="10"/>
      <x:c r="G193" s="10"/>
      <x:c r="H193" s="10"/>
      <x:c r="I193" s="2"/>
      <x:c r="J193" s="2"/>
      <x:c r="K193" s="2"/>
      <x:c r="L193" s="2"/>
      <x:c r="M193" s="2"/>
      <x:c r="N193" s="2"/>
    </x:row>
    <x:row r="194" ht="23" customHeight="1">
      <x:c r="A194" s="2"/>
      <x:c r="B194" s="2"/>
      <x:c r="C194" s="10"/>
      <x:c r="D194" s="10"/>
      <x:c r="E194" s="10"/>
      <x:c r="F194" s="10"/>
      <x:c r="G194" s="10"/>
      <x:c r="H194" s="10"/>
      <x:c r="I194" s="2"/>
      <x:c r="J194" s="2"/>
      <x:c r="K194" s="2"/>
      <x:c r="L194" s="2"/>
      <x:c r="M194" s="2"/>
      <x:c r="N194" s="2"/>
    </x:row>
    <x:row r="195" ht="23" customHeight="1">
      <x:c r="A195" s="2"/>
      <x:c r="B195" s="2"/>
      <x:c r="C195" s="10"/>
      <x:c r="D195" s="10"/>
      <x:c r="E195" s="10"/>
      <x:c r="F195" s="10"/>
      <x:c r="G195" s="10"/>
      <x:c r="H195" s="10"/>
      <x:c r="I195" s="2"/>
      <x:c r="J195" s="2"/>
      <x:c r="K195" s="2"/>
      <x:c r="L195" s="2"/>
      <x:c r="M195" s="2"/>
      <x:c r="N195" s="2"/>
    </x:row>
    <x:row r="196" ht="23" customHeight="1">
      <x:c r="A196" s="2"/>
      <x:c r="B196" s="2"/>
      <x:c r="C196" s="10"/>
      <x:c r="D196" s="10"/>
      <x:c r="E196" s="10"/>
      <x:c r="F196" s="10"/>
      <x:c r="G196" s="10"/>
      <x:c r="H196" s="10"/>
      <x:c r="I196" s="2"/>
      <x:c r="J196" s="2"/>
      <x:c r="K196" s="2"/>
      <x:c r="L196" s="2"/>
      <x:c r="M196" s="2"/>
      <x:c r="N196" s="2"/>
    </x:row>
    <x:row r="197" ht="23" customHeight="1">
      <x:c r="A197" s="2"/>
      <x:c r="B197" s="2"/>
      <x:c r="C197" s="10"/>
      <x:c r="D197" s="10"/>
      <x:c r="E197" s="10"/>
      <x:c r="F197" s="10"/>
      <x:c r="G197" s="10"/>
      <x:c r="H197" s="10"/>
      <x:c r="I197" s="2"/>
      <x:c r="J197" s="2"/>
      <x:c r="K197" s="2"/>
      <x:c r="L197" s="2"/>
      <x:c r="M197" s="2"/>
      <x:c r="N197" s="2"/>
    </x:row>
    <x:row r="198" ht="23" customHeight="1">
      <x:c r="A198" s="2"/>
      <x:c r="B198" s="2"/>
      <x:c r="C198" s="10"/>
      <x:c r="D198" s="10"/>
      <x:c r="E198" s="10"/>
      <x:c r="F198" s="10"/>
      <x:c r="G198" s="10"/>
      <x:c r="H198" s="10"/>
      <x:c r="I198" s="2"/>
      <x:c r="J198" s="2"/>
      <x:c r="K198" s="2"/>
      <x:c r="L198" s="2"/>
      <x:c r="M198" s="2"/>
      <x:c r="N198" s="2"/>
    </x:row>
    <x:row r="199" ht="23" customHeight="1">
      <x:c r="A199" s="2"/>
      <x:c r="B199" s="2"/>
      <x:c r="C199" s="10"/>
      <x:c r="D199" s="10"/>
      <x:c r="E199" s="10"/>
      <x:c r="F199" s="10"/>
      <x:c r="G199" s="10"/>
      <x:c r="H199" s="10"/>
      <x:c r="I199" s="2"/>
      <x:c r="J199" s="2"/>
      <x:c r="K199" s="2"/>
      <x:c r="L199" s="2"/>
      <x:c r="M199" s="2"/>
      <x:c r="N199" s="2"/>
    </x:row>
    <x:row r="200" ht="23" customHeight="1">
      <x:c r="A200" s="2"/>
      <x:c r="B200" s="2"/>
      <x:c r="C200" s="10"/>
      <x:c r="D200" s="10"/>
      <x:c r="E200" s="10"/>
      <x:c r="F200" s="10"/>
      <x:c r="G200" s="10"/>
      <x:c r="H200" s="10"/>
      <x:c r="I200" s="2"/>
      <x:c r="J200" s="2"/>
      <x:c r="K200" s="2"/>
      <x:c r="L200" s="2"/>
      <x:c r="M200" s="2"/>
      <x:c r="N200" s="2"/>
    </x:row>
    <x:row r="201" ht="23" customHeight="1">
      <x:c r="A201" s="2"/>
      <x:c r="B201" s="2"/>
      <x:c r="C201" s="10"/>
      <x:c r="D201" s="10"/>
      <x:c r="E201" s="10"/>
      <x:c r="F201" s="10"/>
      <x:c r="G201" s="10"/>
      <x:c r="H201" s="10"/>
      <x:c r="I201" s="2"/>
      <x:c r="J201" s="2"/>
      <x:c r="K201" s="2"/>
      <x:c r="L201" s="2"/>
      <x:c r="M201" s="2"/>
      <x:c r="N201" s="2"/>
    </x:row>
    <x:row r="202" ht="23" customHeight="1">
      <x:c r="A202" s="2"/>
      <x:c r="B202" s="2"/>
      <x:c r="C202" s="10"/>
      <x:c r="D202" s="10"/>
      <x:c r="E202" s="10"/>
      <x:c r="F202" s="10"/>
      <x:c r="G202" s="10"/>
      <x:c r="H202" s="10"/>
      <x:c r="I202" s="2"/>
      <x:c r="J202" s="2"/>
      <x:c r="K202" s="2"/>
      <x:c r="L202" s="2"/>
      <x:c r="M202" s="2"/>
      <x:c r="N202" s="2"/>
    </x:row>
    <x:row r="203" ht="23" customHeight="1">
      <x:c r="A203" s="2"/>
      <x:c r="B203" s="2"/>
      <x:c r="C203" s="10"/>
      <x:c r="D203" s="10"/>
      <x:c r="E203" s="10"/>
      <x:c r="F203" s="10"/>
      <x:c r="G203" s="10"/>
      <x:c r="H203" s="10"/>
      <x:c r="I203" s="2"/>
      <x:c r="J203" s="2"/>
      <x:c r="K203" s="2"/>
      <x:c r="L203" s="2"/>
      <x:c r="M203" s="2"/>
      <x:c r="N203" s="2"/>
    </x:row>
    <x:row r="204" ht="23" customHeight="1">
      <x:c r="A204" s="2"/>
      <x:c r="B204" s="2"/>
      <x:c r="C204" s="10"/>
      <x:c r="D204" s="10"/>
      <x:c r="E204" s="10"/>
      <x:c r="F204" s="10"/>
      <x:c r="G204" s="10"/>
      <x:c r="H204" s="10"/>
      <x:c r="I204" s="2"/>
      <x:c r="J204" s="2"/>
      <x:c r="K204" s="2"/>
      <x:c r="L204" s="2"/>
      <x:c r="M204" s="2"/>
      <x:c r="N204" s="2"/>
    </x:row>
    <x:row r="205" ht="23" customHeight="1">
      <x:c r="A205" s="2"/>
      <x:c r="B205" s="2"/>
      <x:c r="C205" s="10"/>
      <x:c r="D205" s="10"/>
      <x:c r="E205" s="10"/>
      <x:c r="F205" s="10"/>
      <x:c r="G205" s="10"/>
      <x:c r="H205" s="10"/>
      <x:c r="I205" s="2"/>
      <x:c r="J205" s="2"/>
      <x:c r="K205" s="2"/>
      <x:c r="L205" s="2"/>
      <x:c r="M205" s="2"/>
      <x:c r="N205" s="2"/>
    </x:row>
    <x:row r="206" ht="23" customHeight="1">
      <x:c r="A206" s="2"/>
      <x:c r="B206" s="2"/>
      <x:c r="C206" s="10"/>
      <x:c r="D206" s="10"/>
      <x:c r="E206" s="10"/>
      <x:c r="F206" s="10"/>
      <x:c r="G206" s="10"/>
      <x:c r="H206" s="10"/>
      <x:c r="I206" s="2"/>
      <x:c r="J206" s="2"/>
      <x:c r="K206" s="2"/>
      <x:c r="L206" s="2"/>
      <x:c r="M206" s="2"/>
      <x:c r="N206" s="2"/>
    </x:row>
    <x:row r="207" ht="23" customHeight="1">
      <x:c r="A207" s="2"/>
      <x:c r="B207" s="2"/>
      <x:c r="C207" s="10"/>
      <x:c r="D207" s="10"/>
      <x:c r="E207" s="10"/>
      <x:c r="F207" s="10"/>
      <x:c r="G207" s="10"/>
      <x:c r="H207" s="10"/>
      <x:c r="I207" s="2"/>
      <x:c r="J207" s="2"/>
      <x:c r="K207" s="2"/>
      <x:c r="L207" s="2"/>
      <x:c r="M207" s="2"/>
      <x:c r="N207" s="2"/>
    </x:row>
    <x:row r="208" ht="23" customHeight="1">
      <x:c r="A208" s="2"/>
      <x:c r="B208" s="2"/>
      <x:c r="C208" s="10"/>
      <x:c r="D208" s="10"/>
      <x:c r="E208" s="10"/>
      <x:c r="F208" s="10"/>
      <x:c r="G208" s="10"/>
      <x:c r="H208" s="10"/>
      <x:c r="I208" s="2"/>
      <x:c r="J208" s="2"/>
      <x:c r="K208" s="2"/>
      <x:c r="L208" s="2"/>
      <x:c r="M208" s="2"/>
      <x:c r="N208" s="2"/>
    </x:row>
    <x:row r="209" ht="23" customHeight="1">
      <x:c r="A209" s="2"/>
      <x:c r="B209" s="2"/>
      <x:c r="C209" s="10"/>
      <x:c r="D209" s="10"/>
      <x:c r="E209" s="10"/>
      <x:c r="F209" s="10"/>
      <x:c r="G209" s="10"/>
      <x:c r="H209" s="10"/>
      <x:c r="I209" s="2"/>
      <x:c r="J209" s="2"/>
      <x:c r="K209" s="2"/>
      <x:c r="L209" s="2"/>
      <x:c r="M209" s="2"/>
      <x:c r="N209" s="2"/>
    </x:row>
    <x:row r="210" ht="23" customHeight="1">
      <x:c r="A210" s="2"/>
      <x:c r="B210" s="2"/>
      <x:c r="C210" s="10"/>
      <x:c r="D210" s="10"/>
      <x:c r="E210" s="10"/>
      <x:c r="F210" s="10"/>
      <x:c r="G210" s="10"/>
      <x:c r="H210" s="10"/>
      <x:c r="I210" s="2"/>
      <x:c r="J210" s="2"/>
      <x:c r="K210" s="2"/>
      <x:c r="L210" s="2"/>
      <x:c r="M210" s="2"/>
      <x:c r="N210" s="2"/>
    </x:row>
    <x:row r="211" ht="23" customHeight="1">
      <x:c r="A211" s="2"/>
      <x:c r="B211" s="2"/>
      <x:c r="C211" s="10"/>
      <x:c r="D211" s="10"/>
      <x:c r="E211" s="10"/>
      <x:c r="F211" s="10"/>
      <x:c r="G211" s="10"/>
      <x:c r="H211" s="10"/>
      <x:c r="I211" s="2"/>
      <x:c r="J211" s="2"/>
      <x:c r="K211" s="2"/>
      <x:c r="L211" s="2"/>
      <x:c r="M211" s="2"/>
      <x:c r="N211" s="2"/>
    </x:row>
    <x:row r="212" ht="23" customHeight="1">
      <x:c r="A212" s="2"/>
      <x:c r="B212" s="2"/>
      <x:c r="C212" s="10"/>
      <x:c r="D212" s="10"/>
      <x:c r="E212" s="10"/>
      <x:c r="F212" s="10"/>
      <x:c r="G212" s="10"/>
      <x:c r="H212" s="10"/>
      <x:c r="I212" s="2"/>
      <x:c r="J212" s="2"/>
      <x:c r="K212" s="2"/>
      <x:c r="L212" s="2"/>
      <x:c r="M212" s="2"/>
      <x:c r="N212" s="2"/>
    </x:row>
    <x:row r="213" ht="23" customHeight="1">
      <x:c r="A213" s="2"/>
      <x:c r="B213" s="2"/>
      <x:c r="C213" s="10"/>
      <x:c r="D213" s="10"/>
      <x:c r="E213" s="10"/>
      <x:c r="F213" s="10"/>
      <x:c r="G213" s="10"/>
      <x:c r="H213" s="10"/>
      <x:c r="I213" s="2"/>
      <x:c r="J213" s="2"/>
      <x:c r="K213" s="2"/>
      <x:c r="L213" s="2"/>
      <x:c r="M213" s="2"/>
      <x:c r="N213" s="2"/>
    </x:row>
    <x:row r="214" ht="23" customHeight="1">
      <x:c r="A214" s="2"/>
      <x:c r="B214" s="2"/>
      <x:c r="C214" s="10"/>
      <x:c r="D214" s="10"/>
      <x:c r="E214" s="10"/>
      <x:c r="F214" s="10"/>
      <x:c r="G214" s="10"/>
      <x:c r="H214" s="10"/>
      <x:c r="I214" s="2"/>
      <x:c r="J214" s="2"/>
      <x:c r="K214" s="2"/>
      <x:c r="L214" s="2"/>
      <x:c r="M214" s="2"/>
      <x:c r="N214" s="2"/>
    </x:row>
    <x:row r="215" ht="23" customHeight="1">
      <x:c r="A215" s="2"/>
      <x:c r="B215" s="2"/>
      <x:c r="C215" s="10"/>
      <x:c r="D215" s="10"/>
      <x:c r="E215" s="10"/>
      <x:c r="F215" s="10"/>
      <x:c r="G215" s="10"/>
      <x:c r="H215" s="10"/>
      <x:c r="I215" s="2"/>
      <x:c r="J215" s="2"/>
      <x:c r="K215" s="2"/>
      <x:c r="L215" s="2"/>
      <x:c r="M215" s="2"/>
      <x:c r="N215" s="2"/>
    </x:row>
    <x:row r="216" ht="23" customHeight="1">
      <x:c r="A216" s="2"/>
      <x:c r="B216" s="2"/>
      <x:c r="C216" s="10"/>
      <x:c r="D216" s="10"/>
      <x:c r="E216" s="10"/>
      <x:c r="F216" s="10"/>
      <x:c r="G216" s="10"/>
      <x:c r="H216" s="10"/>
      <x:c r="I216" s="2"/>
      <x:c r="J216" s="2"/>
      <x:c r="K216" s="2"/>
      <x:c r="L216" s="2"/>
      <x:c r="M216" s="2"/>
      <x:c r="N216" s="2"/>
    </x:row>
    <x:row r="217" ht="23" customHeight="1">
      <x:c r="A217" s="2"/>
      <x:c r="B217" s="2"/>
      <x:c r="C217" s="10"/>
      <x:c r="D217" s="10"/>
      <x:c r="E217" s="10"/>
      <x:c r="F217" s="10"/>
      <x:c r="G217" s="10"/>
      <x:c r="H217" s="10"/>
      <x:c r="I217" s="2"/>
      <x:c r="J217" s="2"/>
      <x:c r="K217" s="2"/>
      <x:c r="L217" s="2"/>
      <x:c r="M217" s="2"/>
      <x:c r="N217" s="2"/>
    </x:row>
    <x:row r="218" ht="23" customHeight="1">
      <x:c r="A218" s="2"/>
      <x:c r="B218" s="2"/>
      <x:c r="C218" s="10"/>
      <x:c r="D218" s="10"/>
      <x:c r="E218" s="10"/>
      <x:c r="F218" s="10"/>
      <x:c r="G218" s="10"/>
      <x:c r="H218" s="10"/>
      <x:c r="I218" s="2"/>
      <x:c r="J218" s="2"/>
      <x:c r="K218" s="2"/>
      <x:c r="L218" s="2"/>
      <x:c r="M218" s="2"/>
      <x:c r="N218" s="2"/>
    </x:row>
    <x:row r="219" ht="23" customHeight="1">
      <x:c r="A219" s="2"/>
      <x:c r="B219" s="2"/>
      <x:c r="C219" s="10"/>
      <x:c r="D219" s="10"/>
      <x:c r="E219" s="10"/>
      <x:c r="F219" s="10"/>
      <x:c r="G219" s="10"/>
      <x:c r="H219" s="10"/>
      <x:c r="I219" s="2"/>
      <x:c r="J219" s="2"/>
      <x:c r="K219" s="2"/>
      <x:c r="L219" s="2"/>
      <x:c r="M219" s="2"/>
      <x:c r="N219" s="2"/>
    </x:row>
    <x:row r="220" ht="23" customHeight="1">
      <x:c r="A220" s="2"/>
      <x:c r="B220" s="2"/>
      <x:c r="C220" s="10"/>
      <x:c r="D220" s="10"/>
      <x:c r="E220" s="10"/>
      <x:c r="F220" s="10"/>
      <x:c r="G220" s="10"/>
      <x:c r="H220" s="10"/>
      <x:c r="I220" s="2"/>
      <x:c r="J220" s="2"/>
      <x:c r="K220" s="2"/>
      <x:c r="L220" s="2"/>
      <x:c r="M220" s="2"/>
      <x:c r="N220" s="2"/>
    </x:row>
    <x:row r="221" ht="23" customHeight="1">
      <x:c r="A221" s="2"/>
      <x:c r="B221" s="2"/>
      <x:c r="C221" s="10"/>
      <x:c r="D221" s="10"/>
      <x:c r="E221" s="10"/>
      <x:c r="F221" s="10"/>
      <x:c r="G221" s="10"/>
      <x:c r="H221" s="10"/>
      <x:c r="I221" s="2"/>
      <x:c r="J221" s="2"/>
      <x:c r="K221" s="2"/>
      <x:c r="L221" s="2"/>
      <x:c r="M221" s="2"/>
      <x:c r="N221" s="2"/>
    </x:row>
    <x:row r="222" ht="23" customHeight="1">
      <x:c r="A222" s="2"/>
      <x:c r="B222" s="2"/>
      <x:c r="C222" s="10"/>
      <x:c r="D222" s="10"/>
      <x:c r="E222" s="10"/>
      <x:c r="F222" s="10"/>
      <x:c r="G222" s="10"/>
      <x:c r="H222" s="10"/>
      <x:c r="I222" s="2"/>
      <x:c r="J222" s="2"/>
      <x:c r="K222" s="2"/>
      <x:c r="L222" s="2"/>
      <x:c r="M222" s="2"/>
      <x:c r="N222" s="2"/>
    </x:row>
    <x:row r="223" ht="23" customHeight="1">
      <x:c r="A223" s="2"/>
      <x:c r="B223" s="2"/>
      <x:c r="C223" s="10"/>
      <x:c r="D223" s="10"/>
      <x:c r="E223" s="10"/>
      <x:c r="F223" s="10"/>
      <x:c r="G223" s="10"/>
      <x:c r="H223" s="10"/>
      <x:c r="I223" s="2"/>
      <x:c r="J223" s="2"/>
      <x:c r="K223" s="2"/>
      <x:c r="L223" s="2"/>
      <x:c r="M223" s="2"/>
      <x:c r="N223" s="2"/>
    </x:row>
    <x:row r="224" ht="23" customHeight="1">
      <x:c r="A224" s="2"/>
      <x:c r="B224" s="2"/>
      <x:c r="C224" s="10"/>
      <x:c r="D224" s="10"/>
      <x:c r="E224" s="10"/>
      <x:c r="F224" s="10"/>
      <x:c r="G224" s="10"/>
      <x:c r="H224" s="10"/>
      <x:c r="I224" s="2"/>
      <x:c r="J224" s="2"/>
      <x:c r="K224" s="2"/>
      <x:c r="L224" s="2"/>
      <x:c r="M224" s="2"/>
      <x:c r="N224" s="2"/>
    </x:row>
    <x:row r="225" ht="23" customHeight="1">
      <x:c r="A225" s="2"/>
      <x:c r="B225" s="2"/>
      <x:c r="C225" s="10"/>
      <x:c r="D225" s="10"/>
      <x:c r="E225" s="10"/>
      <x:c r="F225" s="10"/>
      <x:c r="G225" s="10"/>
      <x:c r="H225" s="10"/>
      <x:c r="I225" s="2"/>
      <x:c r="J225" s="2"/>
      <x:c r="K225" s="2"/>
      <x:c r="L225" s="2"/>
      <x:c r="M225" s="2"/>
      <x:c r="N225" s="2"/>
    </x:row>
    <x:row r="226" ht="23" customHeight="1">
      <x:c r="A226" s="2"/>
      <x:c r="B226" s="2"/>
      <x:c r="C226" s="10"/>
      <x:c r="D226" s="10"/>
      <x:c r="E226" s="10"/>
      <x:c r="F226" s="10"/>
      <x:c r="G226" s="10"/>
      <x:c r="H226" s="10"/>
      <x:c r="I226" s="2"/>
      <x:c r="J226" s="2"/>
      <x:c r="K226" s="2"/>
      <x:c r="L226" s="2"/>
      <x:c r="M226" s="2"/>
      <x:c r="N226" s="2"/>
    </x:row>
    <x:row r="227" ht="23" customHeight="1">
      <x:c r="A227" s="2"/>
      <x:c r="B227" s="2"/>
      <x:c r="C227" s="10"/>
      <x:c r="D227" s="10"/>
      <x:c r="E227" s="10"/>
      <x:c r="F227" s="10"/>
      <x:c r="G227" s="10"/>
      <x:c r="H227" s="10"/>
      <x:c r="I227" s="2"/>
      <x:c r="J227" s="2"/>
      <x:c r="K227" s="2"/>
      <x:c r="L227" s="2"/>
      <x:c r="M227" s="2"/>
      <x:c r="N227" s="2"/>
    </x:row>
    <x:row r="228" ht="23" customHeight="1">
      <x:c r="A228" s="2"/>
      <x:c r="B228" s="2"/>
      <x:c r="C228" s="10"/>
      <x:c r="D228" s="10"/>
      <x:c r="E228" s="10"/>
      <x:c r="F228" s="10"/>
      <x:c r="G228" s="10"/>
      <x:c r="H228" s="10"/>
      <x:c r="I228" s="2"/>
      <x:c r="J228" s="2"/>
      <x:c r="K228" s="2"/>
      <x:c r="L228" s="2"/>
      <x:c r="M228" s="2"/>
      <x:c r="N228" s="2"/>
    </x:row>
    <x:row r="229" ht="23" customHeight="1">
      <x:c r="A229" s="2"/>
      <x:c r="B229" s="2"/>
      <x:c r="C229" s="10"/>
      <x:c r="D229" s="10"/>
      <x:c r="E229" s="10"/>
      <x:c r="F229" s="10"/>
      <x:c r="G229" s="10"/>
      <x:c r="H229" s="10"/>
      <x:c r="I229" s="2"/>
      <x:c r="J229" s="2"/>
      <x:c r="K229" s="2"/>
      <x:c r="L229" s="2"/>
      <x:c r="M229" s="2"/>
      <x:c r="N229" s="2"/>
    </x:row>
    <x:row r="230" ht="23" customHeight="1">
      <x:c r="A230" s="2"/>
      <x:c r="B230" s="2"/>
      <x:c r="C230" s="10"/>
      <x:c r="D230" s="10"/>
      <x:c r="E230" s="10"/>
      <x:c r="F230" s="10"/>
      <x:c r="G230" s="10"/>
      <x:c r="H230" s="10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10"/>
      <x:c r="D231" s="10"/>
      <x:c r="E231" s="10"/>
      <x:c r="F231" s="10"/>
      <x:c r="G231" s="10"/>
      <x:c r="H231" s="10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10"/>
      <x:c r="D232" s="10"/>
      <x:c r="E232" s="10"/>
      <x:c r="F232" s="10"/>
      <x:c r="G232" s="10"/>
      <x:c r="H232" s="10"/>
      <x:c r="I232" s="2"/>
      <x:c r="J232" s="2"/>
      <x:c r="K232" s="2"/>
      <x:c r="L232" s="2"/>
      <x:c r="M232" s="2"/>
      <x:c r="N232" s="2"/>
    </x:row>
    <x:row r="233" ht="23" customHeight="1">
      <x:c r="A233" s="2"/>
      <x:c r="B233" s="2"/>
      <x:c r="C233" s="10"/>
      <x:c r="D233" s="10"/>
      <x:c r="E233" s="10"/>
      <x:c r="F233" s="10"/>
      <x:c r="G233" s="10"/>
      <x:c r="H233" s="10"/>
      <x:c r="I233" s="2"/>
      <x:c r="J233" s="2"/>
      <x:c r="K233" s="2"/>
      <x:c r="L233" s="2"/>
      <x:c r="M233" s="2"/>
      <x:c r="N233" s="2"/>
    </x:row>
    <x:row r="234" ht="23" customHeight="1">
      <x:c r="A234" s="2"/>
      <x:c r="B234" s="2"/>
      <x:c r="C234" s="10"/>
      <x:c r="D234" s="10"/>
      <x:c r="E234" s="10"/>
      <x:c r="F234" s="10"/>
      <x:c r="G234" s="10"/>
      <x:c r="H234" s="10"/>
      <x:c r="I234" s="2"/>
      <x:c r="J234" s="2"/>
      <x:c r="K234" s="2"/>
      <x:c r="L234" s="2"/>
      <x:c r="M234" s="2"/>
      <x:c r="N234" s="2"/>
    </x:row>
    <x:row r="235" ht="23" customHeight="1">
      <x:c r="A235" s="2"/>
      <x:c r="B235" s="2"/>
      <x:c r="C235" s="10"/>
      <x:c r="D235" s="10"/>
      <x:c r="E235" s="10"/>
      <x:c r="F235" s="10"/>
      <x:c r="G235" s="10"/>
      <x:c r="H235" s="10"/>
      <x:c r="I235" s="2"/>
      <x:c r="J235" s="2"/>
      <x:c r="K235" s="2"/>
      <x:c r="L235" s="2"/>
      <x:c r="M235" s="2"/>
      <x:c r="N235" s="2"/>
    </x:row>
    <x:row r="236" ht="23" customHeight="1">
      <x:c r="A236" s="2"/>
      <x:c r="B236" s="2"/>
      <x:c r="C236" s="10"/>
      <x:c r="D236" s="10"/>
      <x:c r="E236" s="10"/>
      <x:c r="F236" s="10"/>
      <x:c r="G236" s="10"/>
      <x:c r="H236" s="10"/>
      <x:c r="I236" s="2"/>
      <x:c r="J236" s="2"/>
      <x:c r="K236" s="2"/>
      <x:c r="L236" s="2"/>
      <x:c r="M236" s="2"/>
      <x:c r="N236" s="2"/>
    </x:row>
    <x:row r="237" ht="23" customHeight="1">
      <x:c r="A237" s="2"/>
      <x:c r="B237" s="2"/>
      <x:c r="C237" s="10"/>
      <x:c r="D237" s="10"/>
      <x:c r="E237" s="10"/>
      <x:c r="F237" s="10"/>
      <x:c r="G237" s="10"/>
      <x:c r="H237" s="10"/>
      <x:c r="I237" s="2"/>
      <x:c r="J237" s="2"/>
      <x:c r="K237" s="2"/>
      <x:c r="L237" s="2"/>
      <x:c r="M237" s="2"/>
      <x:c r="N237" s="2"/>
    </x:row>
    <x:row r="238" ht="23" customHeight="1">
      <x:c r="A238" s="2"/>
      <x:c r="B238" s="2"/>
      <x:c r="C238" s="10"/>
      <x:c r="D238" s="10"/>
      <x:c r="E238" s="10"/>
      <x:c r="F238" s="10"/>
      <x:c r="G238" s="10"/>
      <x:c r="H238" s="10"/>
      <x:c r="I238" s="2"/>
      <x:c r="J238" s="2"/>
      <x:c r="K238" s="2"/>
      <x:c r="L238" s="2"/>
      <x:c r="M238" s="2"/>
      <x:c r="N238" s="2"/>
    </x:row>
    <x:row r="239" ht="23" customHeight="1">
      <x:c r="A239" s="2"/>
      <x:c r="B239" s="2"/>
      <x:c r="C239" s="10"/>
      <x:c r="D239" s="10"/>
      <x:c r="E239" s="10"/>
      <x:c r="F239" s="10"/>
      <x:c r="G239" s="10"/>
      <x:c r="H239" s="10"/>
      <x:c r="I239" s="2"/>
      <x:c r="J239" s="2"/>
      <x:c r="K239" s="2"/>
      <x:c r="L239" s="2"/>
      <x:c r="M239" s="2"/>
      <x:c r="N239" s="2"/>
    </x:row>
    <x:row r="240" ht="23" customHeight="1">
      <x:c r="A240" s="2"/>
      <x:c r="B240" s="2"/>
      <x:c r="C240" s="10"/>
      <x:c r="D240" s="10"/>
      <x:c r="E240" s="10"/>
      <x:c r="F240" s="10"/>
      <x:c r="G240" s="10"/>
      <x:c r="H240" s="10"/>
      <x:c r="I240" s="2"/>
      <x:c r="J240" s="2"/>
      <x:c r="K240" s="2"/>
      <x:c r="L240" s="2"/>
      <x:c r="M240" s="2"/>
      <x:c r="N240" s="2"/>
    </x:row>
    <x:row r="241" ht="23" customHeight="1">
      <x:c r="A241" s="2"/>
      <x:c r="B241" s="2"/>
      <x:c r="C241" s="10"/>
      <x:c r="D241" s="10"/>
      <x:c r="E241" s="10"/>
      <x:c r="F241" s="10"/>
      <x:c r="G241" s="10"/>
      <x:c r="H241" s="10"/>
      <x:c r="I241" s="2"/>
      <x:c r="J241" s="2"/>
      <x:c r="K241" s="2"/>
      <x:c r="L241" s="2"/>
      <x:c r="M241" s="2"/>
      <x:c r="N241" s="2"/>
    </x:row>
    <x:row r="242" ht="23" customHeight="1">
      <x:c r="A242" s="2"/>
      <x:c r="B242" s="2"/>
      <x:c r="C242" s="10"/>
      <x:c r="D242" s="10"/>
      <x:c r="E242" s="10"/>
      <x:c r="F242" s="10"/>
      <x:c r="G242" s="10"/>
      <x:c r="H242" s="10"/>
      <x:c r="I242" s="2"/>
      <x:c r="J242" s="2"/>
      <x:c r="K242" s="2"/>
      <x:c r="L242" s="2"/>
      <x:c r="M242" s="2"/>
      <x:c r="N242" s="2"/>
    </x:row>
    <x:row r="243" ht="23" customHeight="1">
      <x:c r="A243" s="2"/>
      <x:c r="B243" s="2"/>
      <x:c r="C243" s="10"/>
      <x:c r="D243" s="10"/>
      <x:c r="E243" s="10"/>
      <x:c r="F243" s="10"/>
      <x:c r="G243" s="10"/>
      <x:c r="H243" s="10"/>
      <x:c r="I243" s="2"/>
      <x:c r="J243" s="2"/>
      <x:c r="K243" s="2"/>
      <x:c r="L243" s="2"/>
      <x:c r="M243" s="2"/>
      <x:c r="N243" s="2"/>
    </x:row>
    <x:row r="244" ht="23" customHeight="1">
      <x:c r="A244" s="2"/>
      <x:c r="B244" s="2"/>
      <x:c r="C244" s="10"/>
      <x:c r="D244" s="10"/>
      <x:c r="E244" s="10"/>
      <x:c r="F244" s="10"/>
      <x:c r="G244" s="10"/>
      <x:c r="H244" s="10"/>
      <x:c r="I244" s="2"/>
      <x:c r="J244" s="2"/>
      <x:c r="K244" s="2"/>
      <x:c r="L244" s="2"/>
      <x:c r="M244" s="2"/>
      <x:c r="N244" s="2"/>
    </x:row>
    <x:row r="245" ht="23" customHeight="1">
      <x:c r="A245" s="2"/>
      <x:c r="B245" s="2"/>
      <x:c r="C245" s="10"/>
      <x:c r="D245" s="10"/>
      <x:c r="E245" s="10"/>
      <x:c r="F245" s="10"/>
      <x:c r="G245" s="10"/>
      <x:c r="H245" s="10"/>
      <x:c r="I245" s="2"/>
      <x:c r="J245" s="2"/>
      <x:c r="K245" s="2"/>
      <x:c r="L245" s="2"/>
      <x:c r="M245" s="2"/>
      <x:c r="N245" s="2"/>
    </x:row>
    <x:row r="246" ht="23" customHeight="1">
      <x:c r="A246" s="2"/>
      <x:c r="B246" s="2"/>
      <x:c r="C246" s="10"/>
      <x:c r="D246" s="10"/>
      <x:c r="E246" s="10"/>
      <x:c r="F246" s="10"/>
      <x:c r="G246" s="10"/>
      <x:c r="H246" s="10"/>
      <x:c r="I246" s="2"/>
      <x:c r="J246" s="2"/>
      <x:c r="K246" s="2"/>
      <x:c r="L246" s="2"/>
      <x:c r="M246" s="2"/>
      <x:c r="N246" s="2"/>
    </x:row>
    <x:row r="247" ht="23" customHeight="1">
      <x:c r="A247" s="2"/>
      <x:c r="B247" s="2"/>
      <x:c r="C247" s="10"/>
      <x:c r="D247" s="10"/>
      <x:c r="E247" s="10"/>
      <x:c r="F247" s="10"/>
      <x:c r="G247" s="10"/>
      <x:c r="H247" s="10"/>
      <x:c r="I247" s="2"/>
      <x:c r="J247" s="2"/>
      <x:c r="K247" s="2"/>
      <x:c r="L247" s="2"/>
      <x:c r="M247" s="2"/>
      <x:c r="N247" s="2"/>
    </x:row>
    <x:row r="248" ht="23" customHeight="1">
      <x:c r="A248" s="2"/>
      <x:c r="B248" s="2"/>
      <x:c r="C248" s="10"/>
      <x:c r="D248" s="10"/>
      <x:c r="E248" s="10"/>
      <x:c r="F248" s="10"/>
      <x:c r="G248" s="10"/>
      <x:c r="H248" s="10"/>
      <x:c r="I248" s="2"/>
      <x:c r="J248" s="2"/>
      <x:c r="K248" s="2"/>
      <x:c r="L248" s="2"/>
      <x:c r="M248" s="2"/>
      <x:c r="N248" s="2"/>
    </x:row>
    <x:row r="249" ht="23" customHeight="1">
      <x:c r="A249" s="2"/>
      <x:c r="B249" s="2"/>
      <x:c r="C249" s="10"/>
      <x:c r="D249" s="10"/>
      <x:c r="E249" s="10"/>
      <x:c r="F249" s="10"/>
      <x:c r="G249" s="10"/>
      <x:c r="H249" s="10"/>
      <x:c r="I249" s="2"/>
      <x:c r="J249" s="2"/>
      <x:c r="K249" s="2"/>
      <x:c r="L249" s="2"/>
      <x:c r="M249" s="2"/>
      <x:c r="N249" s="2"/>
    </x:row>
    <x:row r="250" ht="23" customHeight="1">
      <x:c r="A250" s="2"/>
      <x:c r="B250" s="2"/>
      <x:c r="C250" s="10"/>
      <x:c r="D250" s="10"/>
      <x:c r="E250" s="10"/>
      <x:c r="F250" s="10"/>
      <x:c r="G250" s="10"/>
      <x:c r="H250" s="10"/>
      <x:c r="I250" s="2"/>
      <x:c r="J250" s="2"/>
      <x:c r="K250" s="2"/>
      <x:c r="L250" s="2"/>
      <x:c r="M250" s="2"/>
      <x:c r="N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</x:row>
  </x:sheetData>
  <x:mergeCells>
    <x:mergeCell ref="A1:H1"/>
  </x:mergeCells>
  <x:pageMargins left="0.7" right="0.7" top="0.75" bottom="0.75" header="0.3" footer="0.3"/>
</x:worksheet>
</file>