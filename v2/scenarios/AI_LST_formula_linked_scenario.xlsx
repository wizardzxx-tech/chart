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vml" ContentType="application/vnd.openxmlformats-officedocument.vmlDrawing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56e05072e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" sheetId="1" r:id="Rf9abaafb222b41f9"/>
    <x:sheet xmlns:r="http://schemas.openxmlformats.org/officeDocument/2006/relationships" name="Inputs" sheetId="2" r:id="Ra479f771d4e5468a"/>
    <x:sheet xmlns:r="http://schemas.openxmlformats.org/officeDocument/2006/relationships" name="Calculations" sheetId="3" r:id="R72c323fb31ea4115"/>
    <x:sheet xmlns:r="http://schemas.openxmlformats.org/officeDocument/2006/relationships" name="Checks" sheetId="4" r:id="R8b525bd4f21940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(#,##0.00);&quot;-&quot;"/>
    <x:numFmt numFmtId="201" formatCode="0"/>
    <x:numFmt numFmtId="202" formatCode="0.0%;(0.0%);&quot;-&quot;"/>
    <x:numFmt numFmtId="203" formatCode="@"/>
    <x:numFmt numFmtId="204" formatCode="0.00"/>
    <x:numFmt numFmtId="205" formatCode="dd-mmm-yyyy"/>
    <x:numFmt numFmtId="206" formatCode="0.00&quot;x&quot;;(0.00&quot;x&quot;);&quot;-&quot;"/>
    <x:numFmt numFmtId="207" formatCode="0.0"/>
    <x:numFmt numFmtId="208" formatCode="General"/>
    <x:numFmt numFmtId="209" formatCode="0.00;(0.00);0.00"/>
    <x:numFmt numFmtId="210" formatCode="0&quot;%&quot;"/>
    <x:numFmt numFmtId="211" formatCode="0.00&quot;×&quot;"/>
    <x:numFmt numFmtId="212" formatCode="+0.0%;-0.0%;0.0%"/>
  </x:numFmts>
  <x:fonts count="42">
    <x:font>
      <x:sz val="11"/>
      <x:name val="Carlito"/>
    </x:font>
    <x:font>
      <x:sz val="10"/>
      <x:color rgb="FF00355F"/>
      <x:name val="Arial"/>
    </x:font>
    <x:font>
      <x:b/>
      <x:sz val="16"/>
      <x:color rgb="FF00355F"/>
      <x:name val="Arial"/>
    </x:font>
    <x:font>
      <x:i/>
      <x:sz val="10"/>
      <x:color rgb="FF00355F"/>
      <x:name val="Arial"/>
    </x:font>
    <x:font>
      <x:sz val="10"/>
      <x:color rgb="FF0000FF"/>
      <x:name val="Arial"/>
    </x:font>
    <x:font>
      <x:sz val="10"/>
      <x:color rgb="FF000000"/>
      <x:name val="Arial"/>
    </x:font>
    <x:font>
      <x:b/>
      <x:sz val="10"/>
      <x:color rgb="FF00355F"/>
      <x:name val="Arial"/>
    </x:font>
    <x:font>
      <x:sz val="10"/>
      <x:color rgb="FF078549"/>
      <x:name val="Arial"/>
    </x:font>
    <x:font>
      <x:sz val="10"/>
      <x:color rgb="FFA5A5A5"/>
      <x:name val="Arial"/>
    </x:font>
    <x:font>
      <x:b/>
      <x:sz val="11"/>
      <x:color rgb="FFFFFFFF"/>
      <x:name val="Arial"/>
    </x:font>
    <x:font>
      <x:b/>
      <x:sz val="10"/>
      <x:color rgb="FF000000"/>
      <x:name val="Arial"/>
    </x:font>
    <x:font>
      <x:sz val="11"/>
      <x:color rgb="FF000000"/>
      <x:name val="Carlito"/>
    </x:font>
    <x:font>
      <x:b/>
      <x:sz val="14"/>
      <x:color rgb="FF00355F"/>
      <x:name val="Arial"/>
    </x:font>
    <x:font>
      <x:i/>
      <x:sz val="10"/>
      <x:color rgb="FF078549"/>
      <x:name val="Arial"/>
    </x:font>
    <x:font>
      <x:i/>
      <x:sz val="10"/>
      <x:color rgb="FF0000FF"/>
      <x:name val="Arial"/>
    </x:font>
    <x:font>
      <x:i/>
      <x:sz val="10"/>
      <x:color rgb="FF000000"/>
      <x:name val="Arial"/>
    </x:font>
    <x:font>
      <x:sz val="11"/>
      <x:color rgb="FFFFFFFF"/>
      <x:name val="Arial"/>
    </x:font>
    <x:font>
      <x:b/>
      <x:sz val="25"/>
      <x:color rgb="FFFFFFFF"/>
      <x:name val="Arial"/>
    </x:font>
    <x:font>
      <x:sz val="13"/>
      <x:color rgb="FFACD4F1"/>
      <x:name val="Arial"/>
    </x:font>
    <x:font>
      <x:sz val="14"/>
      <x:color rgb="FFFFFFFF"/>
      <x:name val="Arial"/>
    </x:font>
    <x:font>
      <x:b/>
      <x:sz val="20"/>
      <x:color rgb="FF0000FF"/>
      <x:name val="Arial"/>
    </x:font>
    <x:font>
      <x:sz val="10"/>
      <x:color rgb="FFACD4F1"/>
      <x:name val="Arial"/>
    </x:font>
    <x:font>
      <x:sz val="11"/>
      <x:color rgb="FFACD4F1"/>
      <x:name val="Arial"/>
    </x:font>
    <x:font>
      <x:b/>
      <x:sz val="11"/>
      <x:color rgb="FFACD4F1"/>
      <x:name val="Arial"/>
    </x:font>
    <x:font>
      <x:sz val="25"/>
      <x:color rgb="FFACD4F1"/>
      <x:name val="Arial"/>
    </x:font>
    <x:font>
      <x:b/>
      <x:sz val="13"/>
      <x:color rgb="FFACD4F1"/>
      <x:name val="Arial"/>
    </x:font>
    <x:font>
      <x:b/>
      <x:sz val="13"/>
      <x:color rgb="FFFFFFFF"/>
      <x:name val="Arial"/>
    </x:font>
    <x:font>
      <x:b/>
      <x:sz val="15"/>
      <x:color rgb="FFFFFFFF"/>
      <x:name val="Arial"/>
    </x:font>
    <x:font>
      <x:b/>
      <x:sz val="12"/>
      <x:color rgb="FF00355F"/>
      <x:name val="Arial"/>
    </x:font>
    <x:font>
      <x:b/>
      <x:sz val="25"/>
      <x:color rgb="FF00355F"/>
      <x:name val="Arial"/>
    </x:font>
    <x:font>
      <x:sz val="10"/>
      <x:color rgb="FF00355F"/>
      <x:name val="Arial"/>
    </x:font>
    <x:font>
      <x:b/>
      <x:sz val="12"/>
      <x:color rgb="FFFFFFFF"/>
      <x:name val="Arial"/>
    </x:font>
    <x:font>
      <x:b/>
      <x:sz val="14"/>
      <x:color rgb="FFFFFFFF"/>
      <x:name val="Arial"/>
    </x:font>
    <x:font>
      <x:b/>
      <x:sz val="32"/>
      <x:color rgb="FFACD4F1"/>
      <x:name val="Arial"/>
    </x:font>
    <x:font>
      <x:sz val="9"/>
      <x:color rgb="FFACD4F1"/>
      <x:name val="Arial"/>
    </x:font>
    <x:font>
      <x:sz val="10"/>
      <x:color rgb="FFFFFFFF"/>
      <x:name val="Arial"/>
    </x:font>
    <x:font>
      <x:b/>
      <x:sz val="18"/>
      <x:color rgb="FFACD4F1"/>
      <x:name val="Arial"/>
    </x:font>
    <x:font>
      <x:b/>
      <x:sz val="8"/>
      <x:color rgb="FFACD4F1"/>
      <x:name val="Arial"/>
    </x:font>
    <x:font>
      <x:sz val="9"/>
      <x:color rgb="FFFFFFFF"/>
      <x:name val="Arial"/>
    </x:font>
    <x:font>
      <x:b/>
      <x:sz val="14"/>
      <x:color rgb="FFACD4F1"/>
      <x:name val="Arial"/>
    </x:font>
    <x:font>
      <x:b/>
      <x:sz val="16"/>
      <x:color rgb="FFFFFFFF"/>
      <x:name val="Arial"/>
    </x:font>
    <x:font>
      <x:b/>
      <x:sz val="12"/>
      <x:color rgb="FFACD4F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EEF6FC"/>
      </x:patternFill>
    </x:fill>
    <x:fill>
      <x:patternFill patternType="solid">
        <x:fgColor rgb="FFACD4F1"/>
      </x:patternFill>
    </x:fill>
    <x:fill>
      <x:patternFill patternType="solid">
        <x:fgColor rgb="FF00355F"/>
      </x:patternFill>
    </x:fill>
    <x:fill>
      <x:patternFill patternType="solid">
        <x:fgColor rgb="FF0D3F67"/>
      </x:patternFill>
    </x:fill>
    <x:fill>
      <x:patternFill patternType="solid">
        <x:fgColor rgb="FF7399C6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A5A5A5"/>
      </x:bottom>
      <x:diagonal/>
    </x:border>
    <x:border>
      <x:left/>
      <x:right/>
      <x:top/>
      <x:bottom style="thin">
        <x:color rgb="FF7399C6"/>
      </x:bottom>
      <x:diagonal/>
    </x:border>
    <x:border>
      <x:left style="thin">
        <x:color rgb="FF7399C6"/>
      </x:left>
      <x:right/>
      <x:top style="thin">
        <x:color rgb="FF7399C6"/>
      </x:top>
      <x:bottom/>
      <x:diagonal/>
    </x:border>
    <x:border>
      <x:left/>
      <x:right/>
      <x:top style="thin">
        <x:color rgb="FF7399C6"/>
      </x:top>
      <x:bottom/>
      <x:diagonal/>
    </x:border>
    <x:border>
      <x:left/>
      <x:right style="thin">
        <x:color rgb="FF7399C6"/>
      </x:right>
      <x:top style="thin">
        <x:color rgb="FF7399C6"/>
      </x:top>
      <x:bottom/>
      <x:diagonal/>
    </x:border>
    <x:border>
      <x:left style="thin">
        <x:color rgb="FF7399C6"/>
      </x:left>
      <x:right/>
      <x:top/>
      <x:bottom/>
      <x:diagonal/>
    </x:border>
    <x:border>
      <x:left/>
      <x:right style="thin">
        <x:color rgb="FF7399C6"/>
      </x:right>
      <x:top/>
      <x:bottom/>
      <x:diagonal/>
    </x:border>
    <x:border>
      <x:left style="thin">
        <x:color rgb="FF7399C6"/>
      </x:left>
      <x:right/>
      <x:top/>
      <x:bottom style="thin">
        <x:color rgb="FF7399C6"/>
      </x:bottom>
      <x:diagonal/>
    </x:border>
    <x:border>
      <x:left/>
      <x:right style="thin">
        <x:color rgb="FF7399C6"/>
      </x:right>
      <x:top/>
      <x:bottom style="thin">
        <x:color rgb="FF7399C6"/>
      </x:bottom>
      <x:diagonal/>
    </x:border>
  </x:borders>
  <x:cellStyleXfs count="1">
    <x:xf numFmtId="0" fontId="0" fillId="0" borderId="0"/>
  </x:cellStyleXfs>
  <x:cellXfs count="1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vertical="center" wrapText="1"/>
    </x:xf>
    <x:xf numFmtId="200" fontId="6" fillId="3" borderId="0" xfId="0" applyNumberFormat="1" applyFont="1" applyFill="1" applyBorder="1" applyAlignment="1">
      <x:alignment horizontal="right"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200" fontId="6" fillId="3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right" vertical="center"/>
    </x:xf>
    <x:xf numFmtId="200" fontId="4" fillId="2" borderId="0" xfId="0" applyNumberFormat="1" applyFont="1" applyFill="1" applyBorder="1" applyAlignment="1">
      <x:alignment horizontal="right" vertical="center"/>
    </x:xf>
    <x:xf numFmtId="201" fontId="4" fillId="2" borderId="0" xfId="0" applyNumberFormat="1" applyFont="1" applyFill="1" applyBorder="1" applyAlignment="1">
      <x:alignment horizontal="right" vertical="center"/>
    </x:xf>
    <x:xf numFmtId="202" fontId="4" fillId="2" borderId="0" xfId="0" applyNumberFormat="1" applyFont="1" applyFill="1" applyBorder="1" applyAlignment="1">
      <x:alignment horizontal="right" vertical="center"/>
    </x:xf>
    <x:xf numFmtId="200" fontId="7" fillId="2" borderId="0" xfId="0" applyNumberFormat="1" applyFont="1" applyFill="1" applyBorder="1" applyAlignment="1">
      <x:alignment horizontal="right" vertical="center"/>
    </x:xf>
    <x:xf numFmtId="201" fontId="7" fillId="2" borderId="0" xfId="0" applyNumberFormat="1" applyFont="1" applyFill="1" applyBorder="1" applyAlignment="1">
      <x:alignment horizontal="right" vertical="center"/>
    </x:xf>
    <x:xf numFmtId="202" fontId="7" fillId="2" borderId="0" xfId="0" applyNumberFormat="1" applyFont="1" applyFill="1" applyBorder="1" applyAlignment="1">
      <x:alignment horizontal="righ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3" fontId="7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horizontal="right" vertical="center"/>
    </x:xf>
    <x:xf numFmtId="204" fontId="5" fillId="0" borderId="0" xfId="0" applyNumberFormat="1" applyFont="1" applyFill="1" applyBorder="1" applyAlignment="1">
      <x:alignment horizontal="right" vertical="center"/>
    </x:xf>
    <x:xf numFmtId="204" fontId="4" fillId="2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6" fontId="5" fillId="0" borderId="0" xfId="0" applyNumberFormat="1" applyFont="1" applyFill="1" applyBorder="1" applyAlignment="1">
      <x:alignment horizontal="right" vertical="center"/>
    </x:xf>
    <x:xf numFmtId="206" fontId="7" fillId="0" borderId="0" xfId="0" applyNumberFormat="1" applyFont="1" applyFill="1" applyBorder="1" applyAlignment="1">
      <x:alignment horizontal="right" vertical="center"/>
    </x:xf>
    <x:xf numFmtId="206" fontId="7" fillId="3" borderId="0" xfId="0" applyNumberFormat="1" applyFont="1" applyFill="1" applyBorder="1" applyAlignment="1">
      <x:alignment horizontal="right" vertical="center"/>
    </x:xf>
    <x:xf numFmtId="206" fontId="10" fillId="3" borderId="0" xfId="0" applyNumberFormat="1" applyFont="1" applyFill="1" applyBorder="1" applyAlignment="1">
      <x:alignment horizontal="right" vertical="center"/>
    </x:xf>
    <x:xf numFmtId="206" fontId="7" fillId="0" borderId="0" xfId="0" applyNumberFormat="1" applyFont="1" applyFill="1" applyBorder="1" applyAlignment="1">
      <x:alignment horizontal="right" vertical="center" wrapText="1"/>
    </x:xf>
    <x:xf numFmtId="201" fontId="5" fillId="0" borderId="0" xfId="0" applyNumberFormat="1" applyFont="1" applyFill="1" applyBorder="1" applyAlignment="1">
      <x:alignment horizontal="right" vertical="center"/>
    </x:xf>
    <x:xf numFmtId="200" fontId="10" fillId="3" borderId="0" xfId="0" applyNumberFormat="1" applyFont="1" applyFill="1" applyBorder="1" applyAlignment="1">
      <x:alignment horizontal="center" vertical="center" wrapText="1"/>
    </x:xf>
    <x:xf numFmtId="207" fontId="10" fillId="3" borderId="0" xfId="0" applyNumberFormat="1" applyFont="1" applyFill="1" applyBorder="1" applyAlignment="1">
      <x:alignment horizontal="center" vertical="center" wrapText="1"/>
    </x:xf>
    <x:xf numFmtId="208" fontId="7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1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6" fontId="1" fillId="3" borderId="0" xfId="0" applyNumberFormat="1" applyFont="1" applyFill="1" applyBorder="1" applyAlignment="1">
      <x:alignment horizontal="right" vertical="center"/>
    </x:xf>
    <x:xf numFmtId="206" fontId="12" fillId="3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vertical="center"/>
    </x:xf>
    <x:xf numFmtId="209" fontId="7" fillId="0" borderId="0" xfId="0" applyNumberFormat="1" applyFont="1" applyFill="1" applyBorder="1" applyAlignment="1">
      <x:alignment horizontal="right" vertical="center"/>
    </x:xf>
    <x:xf numFmtId="209" fontId="5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202" fontId="3" fillId="0" borderId="0" xfId="0" applyNumberFormat="1" applyFont="1" applyFill="1" applyBorder="1" applyAlignment="1">
      <x:alignment horizontal="right" vertical="center"/>
    </x:xf>
    <x:xf numFmtId="202" fontId="13" fillId="2" borderId="0" xfId="0" applyNumberFormat="1" applyFont="1" applyFill="1" applyBorder="1" applyAlignment="1">
      <x:alignment horizontal="right" vertical="center"/>
    </x:xf>
    <x:xf numFmtId="202" fontId="14" fillId="2" borderId="0" xfId="0" applyNumberFormat="1" applyFont="1" applyFill="1" applyBorder="1" applyAlignment="1">
      <x:alignment horizontal="right" vertical="center"/>
    </x:xf>
    <x:xf numFmtId="0" fontId="7" fillId="0" borderId="1" xfId="0" applyNumberFormat="1" applyFont="1" applyFill="1" applyBorder="1" applyAlignment="1">
      <x:alignment horizontal="left" vertical="center"/>
    </x:xf>
    <x:xf numFmtId="202" fontId="13" fillId="0" borderId="0" xfId="0" applyNumberFormat="1" applyFont="1" applyFill="1" applyBorder="1" applyAlignment="1">
      <x:alignment horizontal="right" vertical="center"/>
    </x:xf>
    <x:xf numFmtId="202" fontId="15" fillId="0" borderId="0" xfId="0" applyNumberFormat="1" applyFont="1" applyFill="1" applyBorder="1" applyAlignment="1">
      <x:alignment horizontal="right"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horizontal="left"/>
    </x:xf>
    <x:xf numFmtId="0" fontId="16" fillId="4" borderId="0" xfId="0" applyNumberFormat="1" applyFont="1" applyFill="1" applyBorder="1" applyAlignment="1">
      <x:alignment horizontal="left" vertical="center"/>
    </x:xf>
    <x:xf numFmtId="0" fontId="17" fillId="4" borderId="0" xfId="0" applyNumberFormat="1" applyFont="1" applyFill="1" applyBorder="1" applyAlignment="1">
      <x:alignment horizontal="left" vertical="center"/>
    </x:xf>
    <x:xf numFmtId="0" fontId="17" fillId="4" borderId="0" xfId="0" applyNumberFormat="1" applyFont="1" applyFill="1" applyBorder="1" applyAlignment="1">
      <x:alignment horizontal="left" vertical="center" wrapText="0"/>
    </x:xf>
    <x:xf numFmtId="0" fontId="18" fillId="4" borderId="0" xfId="0" applyNumberFormat="1" applyFont="1" applyFill="1" applyBorder="1" applyAlignment="1">
      <x:alignment horizontal="left" vertical="center"/>
    </x:xf>
    <x:xf numFmtId="0" fontId="18" fillId="4" borderId="0" xfId="0" applyNumberFormat="1" applyFont="1" applyFill="1" applyBorder="1" applyAlignment="1">
      <x:alignment horizontal="left" vertical="center" wrapText="0"/>
    </x:xf>
    <x:xf numFmtId="0" fontId="16" fillId="5" borderId="0" xfId="0" applyNumberFormat="1" applyFont="1" applyFill="1" applyBorder="1" applyAlignment="1">
      <x:alignment horizontal="left" vertical="center"/>
    </x:xf>
    <x:xf numFmtId="0" fontId="19" fillId="5" borderId="0" xfId="0" applyNumberFormat="1" applyFont="1" applyFill="1" applyBorder="1" applyAlignment="1">
      <x:alignment horizontal="left" vertical="center"/>
    </x:xf>
    <x:xf numFmtId="0" fontId="19" fillId="5" borderId="0" xfId="0" applyNumberFormat="1" applyFont="1" applyFill="1" applyBorder="1" applyAlignment="1">
      <x:alignment horizontal="left" vertical="center" wrapText="0"/>
    </x:xf>
    <x:xf numFmtId="0" fontId="20" fillId="5" borderId="0" xfId="0" applyNumberFormat="1" applyFont="1" applyFill="1" applyBorder="1" applyAlignment="1">
      <x:alignment horizontal="left" vertical="center"/>
    </x:xf>
    <x:xf numFmtId="0" fontId="20" fillId="5" borderId="0" xfId="0" applyNumberFormat="1" applyFont="1" applyFill="1" applyBorder="1" applyAlignment="1">
      <x:alignment horizontal="left" vertical="center" wrapText="0"/>
    </x:xf>
    <x:xf numFmtId="0" fontId="20" fillId="5" borderId="0" xfId="0" applyNumberFormat="1" applyFont="1" applyFill="1" applyBorder="1" applyAlignment="1">
      <x:alignment horizontal="center" vertical="center" wrapText="0"/>
    </x:xf>
    <x:xf numFmtId="0" fontId="20" fillId="3" borderId="0" xfId="0" applyNumberFormat="1" applyFont="1" applyFill="1" applyBorder="1" applyAlignment="1">
      <x:alignment horizontal="center" vertical="center" wrapText="0"/>
    </x:xf>
    <x:xf numFmtId="201" fontId="20" fillId="3" borderId="0" xfId="0" applyNumberFormat="1" applyFont="1" applyFill="1" applyBorder="1" applyAlignment="1">
      <x:alignment horizontal="center" vertical="center" wrapText="0"/>
    </x:xf>
    <x:xf numFmtId="0" fontId="21" fillId="5" borderId="0" xfId="0" applyNumberFormat="1" applyFont="1" applyFill="1" applyBorder="1" applyAlignment="1">
      <x:alignment horizontal="left" vertical="center"/>
    </x:xf>
    <x:xf numFmtId="0" fontId="21" fillId="5" borderId="0" xfId="0" applyNumberFormat="1" applyFont="1" applyFill="1" applyBorder="1" applyAlignment="1">
      <x:alignment horizontal="left" vertical="center" wrapText="0"/>
    </x:xf>
    <x:xf numFmtId="210" fontId="20" fillId="3" borderId="0" xfId="0" applyNumberFormat="1" applyFont="1" applyFill="1" applyBorder="1" applyAlignment="1">
      <x:alignment horizontal="center" vertical="center" wrapText="0"/>
    </x:xf>
    <x:xf numFmtId="0" fontId="22" fillId="5" borderId="0" xfId="0" applyNumberFormat="1" applyFont="1" applyFill="1" applyBorder="1" applyAlignment="1">
      <x:alignment horizontal="left" vertical="center"/>
    </x:xf>
    <x:xf numFmtId="0" fontId="22" fillId="5" borderId="0" xfId="0" applyNumberFormat="1" applyFont="1" applyFill="1" applyBorder="1" applyAlignment="1">
      <x:alignment horizontal="left" vertical="center" wrapText="1"/>
    </x:xf>
    <x:xf numFmtId="0" fontId="23" fillId="5" borderId="0" xfId="0" applyNumberFormat="1" applyFont="1" applyFill="1" applyBorder="1" applyAlignment="1">
      <x:alignment horizontal="left" vertical="center"/>
    </x:xf>
    <x:xf numFmtId="0" fontId="23" fillId="5" borderId="0" xfId="0" applyNumberFormat="1" applyFont="1" applyFill="1" applyBorder="1" applyAlignment="1">
      <x:alignment horizontal="left" vertical="center" wrapText="0"/>
    </x:xf>
    <x:xf numFmtId="0" fontId="24" fillId="5" borderId="0" xfId="0" applyNumberFormat="1" applyFont="1" applyFill="1" applyBorder="1" applyAlignment="1">
      <x:alignment horizontal="left" vertical="center"/>
    </x:xf>
    <x:xf numFmtId="0" fontId="24" fillId="5" borderId="0" xfId="0" applyNumberFormat="1" applyFont="1" applyFill="1" applyBorder="1" applyAlignment="1">
      <x:alignment horizontal="left" vertical="center" wrapText="0"/>
    </x:xf>
    <x:xf numFmtId="0" fontId="24" fillId="5" borderId="0" xfId="0" applyNumberFormat="1" applyFont="1" applyFill="1" applyBorder="1" applyAlignment="1">
      <x:alignment horizontal="right" vertical="center" wrapText="0"/>
    </x:xf>
    <x:xf numFmtId="204" fontId="24" fillId="5" borderId="0" xfId="0" applyNumberFormat="1" applyFont="1" applyFill="1" applyBorder="1" applyAlignment="1">
      <x:alignment horizontal="right" vertical="center" wrapText="0"/>
    </x:xf>
    <x:xf numFmtId="0" fontId="16" fillId="5" borderId="2" xfId="0" applyNumberFormat="1" applyFont="1" applyFill="1" applyBorder="1" applyAlignment="1">
      <x:alignment horizontal="left" vertical="center"/>
    </x:xf>
    <x:xf numFmtId="0" fontId="25" fillId="4" borderId="0" xfId="0" applyNumberFormat="1" applyFont="1" applyFill="1" applyBorder="1" applyAlignment="1">
      <x:alignment horizontal="left" vertical="center"/>
    </x:xf>
    <x:xf numFmtId="0" fontId="25" fillId="4" borderId="0" xfId="0" applyNumberFormat="1" applyFont="1" applyFill="1" applyBorder="1" applyAlignment="1">
      <x:alignment horizontal="left" vertical="center" wrapText="0"/>
    </x:xf>
    <x:xf numFmtId="0" fontId="21" fillId="4" borderId="0" xfId="0" applyNumberFormat="1" applyFont="1" applyFill="1" applyBorder="1" applyAlignment="1">
      <x:alignment horizontal="left" vertical="center"/>
    </x:xf>
    <x:xf numFmtId="0" fontId="21" fillId="4" borderId="0" xfId="0" applyNumberFormat="1" applyFont="1" applyFill="1" applyBorder="1" applyAlignment="1">
      <x:alignment horizontal="left" vertical="center" wrapText="0"/>
    </x:xf>
    <x:xf numFmtId="0" fontId="26" fillId="4" borderId="0" xfId="0" applyNumberFormat="1" applyFont="1" applyFill="1" applyBorder="1" applyAlignment="1">
      <x:alignment horizontal="left" vertical="center"/>
    </x:xf>
    <x:xf numFmtId="0" fontId="26" fillId="4" borderId="0" xfId="0" applyNumberFormat="1" applyFont="1" applyFill="1" applyBorder="1" applyAlignment="1">
      <x:alignment horizontal="left" vertical="center" wrapText="0"/>
    </x:xf>
    <x:xf numFmtId="0" fontId="27" fillId="4" borderId="0" xfId="0" applyNumberFormat="1" applyFont="1" applyFill="1" applyBorder="1" applyAlignment="1">
      <x:alignment horizontal="left" vertical="center"/>
    </x:xf>
    <x:xf numFmtId="0" fontId="27" fillId="4" borderId="0" xfId="0" applyNumberFormat="1" applyFont="1" applyFill="1" applyBorder="1" applyAlignment="1">
      <x:alignment horizontal="left" vertical="center" wrapText="0"/>
    </x:xf>
    <x:xf numFmtId="0" fontId="16" fillId="3" borderId="0" xfId="0" applyNumberFormat="1" applyFont="1" applyFill="1" applyBorder="1" applyAlignment="1">
      <x:alignment horizontal="left" vertical="center"/>
    </x:xf>
    <x:xf numFmtId="0" fontId="28" fillId="3" borderId="0" xfId="0" applyNumberFormat="1" applyFont="1" applyFill="1" applyBorder="1" applyAlignment="1">
      <x:alignment horizontal="left" vertical="center"/>
    </x:xf>
    <x:xf numFmtId="0" fontId="28" fillId="3" borderId="0" xfId="0" applyNumberFormat="1" applyFont="1" applyFill="1" applyBorder="1" applyAlignment="1">
      <x:alignment horizontal="left" vertical="center" wrapText="0"/>
    </x:xf>
    <x:xf numFmtId="0" fontId="28" fillId="3" borderId="0" xfId="0" applyNumberFormat="1" applyFont="1" applyFill="1" applyBorder="1" applyAlignment="1">
      <x:alignment horizontal="center" vertical="center" wrapText="0"/>
    </x:xf>
    <x:xf numFmtId="0" fontId="29" fillId="3" borderId="0" xfId="0" applyNumberFormat="1" applyFont="1" applyFill="1" applyBorder="1" applyAlignment="1">
      <x:alignment horizontal="left" vertical="center"/>
    </x:xf>
    <x:xf numFmtId="0" fontId="29" fillId="3" borderId="0" xfId="0" applyNumberFormat="1" applyFont="1" applyFill="1" applyBorder="1" applyAlignment="1">
      <x:alignment horizontal="left" vertical="center" wrapText="0"/>
    </x:xf>
    <x:xf numFmtId="0" fontId="29" fillId="3" borderId="0" xfId="0" applyNumberFormat="1" applyFont="1" applyFill="1" applyBorder="1" applyAlignment="1">
      <x:alignment horizontal="center" vertical="center" wrapText="0"/>
    </x:xf>
    <x:xf numFmtId="211" fontId="29" fillId="3" borderId="0" xfId="0" applyNumberFormat="1" applyFont="1" applyFill="1" applyBorder="1" applyAlignment="1">
      <x:alignment horizontal="center" vertical="center" wrapText="0"/>
    </x:xf>
    <x:xf numFmtId="0" fontId="30" fillId="3" borderId="0" xfId="0" applyNumberFormat="1" applyFont="1" applyFill="1" applyBorder="1" applyAlignment="1">
      <x:alignment horizontal="left" vertical="center"/>
    </x:xf>
    <x:xf numFmtId="0" fontId="30" fillId="3" borderId="0" xfId="0" applyNumberFormat="1" applyFont="1" applyFill="1" applyBorder="1" applyAlignment="1">
      <x:alignment horizontal="left" vertical="center" wrapText="0"/>
    </x:xf>
    <x:xf numFmtId="0" fontId="30" fillId="3" borderId="0" xfId="0" applyNumberFormat="1" applyFont="1" applyFill="1" applyBorder="1" applyAlignment="1">
      <x:alignment horizontal="center" vertical="center" wrapText="0"/>
    </x:xf>
    <x:xf numFmtId="0" fontId="16" fillId="6" borderId="0" xfId="0" applyNumberFormat="1" applyFont="1" applyFill="1" applyBorder="1" applyAlignment="1">
      <x:alignment horizontal="left" vertical="center"/>
    </x:xf>
    <x:xf numFmtId="0" fontId="28" fillId="6" borderId="0" xfId="0" applyNumberFormat="1" applyFont="1" applyFill="1" applyBorder="1" applyAlignment="1">
      <x:alignment horizontal="left" vertical="center"/>
    </x:xf>
    <x:xf numFmtId="0" fontId="28" fillId="6" borderId="0" xfId="0" applyNumberFormat="1" applyFont="1" applyFill="1" applyBorder="1" applyAlignment="1">
      <x:alignment horizontal="left" vertical="center" wrapText="0"/>
    </x:xf>
    <x:xf numFmtId="0" fontId="28" fillId="6" borderId="0" xfId="0" applyNumberFormat="1" applyFont="1" applyFill="1" applyBorder="1" applyAlignment="1">
      <x:alignment horizontal="center" vertical="center" wrapText="0"/>
    </x:xf>
    <x:xf numFmtId="0" fontId="29" fillId="6" borderId="0" xfId="0" applyNumberFormat="1" applyFont="1" applyFill="1" applyBorder="1" applyAlignment="1">
      <x:alignment horizontal="left" vertical="center"/>
    </x:xf>
    <x:xf numFmtId="0" fontId="29" fillId="6" borderId="0" xfId="0" applyNumberFormat="1" applyFont="1" applyFill="1" applyBorder="1" applyAlignment="1">
      <x:alignment horizontal="left" vertical="center" wrapText="0"/>
    </x:xf>
    <x:xf numFmtId="0" fontId="29" fillId="6" borderId="0" xfId="0" applyNumberFormat="1" applyFont="1" applyFill="1" applyBorder="1" applyAlignment="1">
      <x:alignment horizontal="center" vertical="center" wrapText="0"/>
    </x:xf>
    <x:xf numFmtId="211" fontId="29" fillId="6" borderId="0" xfId="0" applyNumberFormat="1" applyFont="1" applyFill="1" applyBorder="1" applyAlignment="1">
      <x:alignment horizontal="center" vertical="center" wrapText="0"/>
    </x:xf>
    <x:xf numFmtId="0" fontId="30" fillId="6" borderId="0" xfId="0" applyNumberFormat="1" applyFont="1" applyFill="1" applyBorder="1" applyAlignment="1">
      <x:alignment horizontal="left" vertical="center"/>
    </x:xf>
    <x:xf numFmtId="0" fontId="30" fillId="6" borderId="0" xfId="0" applyNumberFormat="1" applyFont="1" applyFill="1" applyBorder="1" applyAlignment="1">
      <x:alignment horizontal="left" vertical="center" wrapText="0"/>
    </x:xf>
    <x:xf numFmtId="0" fontId="30" fillId="6" borderId="0" xfId="0" applyNumberFormat="1" applyFont="1" applyFill="1" applyBorder="1" applyAlignment="1">
      <x:alignment horizontal="center" vertical="center" wrapText="0"/>
    </x:xf>
    <x:xf numFmtId="0" fontId="31" fillId="5" borderId="0" xfId="0" applyNumberFormat="1" applyFont="1" applyFill="1" applyBorder="1" applyAlignment="1">
      <x:alignment horizontal="left" vertical="center"/>
    </x:xf>
    <x:xf numFmtId="0" fontId="31" fillId="5" borderId="0" xfId="0" applyNumberFormat="1" applyFont="1" applyFill="1" applyBorder="1" applyAlignment="1">
      <x:alignment horizontal="left" vertical="center" wrapText="0"/>
    </x:xf>
    <x:xf numFmtId="0" fontId="31" fillId="5" borderId="0" xfId="0" applyNumberFormat="1" applyFont="1" applyFill="1" applyBorder="1" applyAlignment="1">
      <x:alignment horizontal="center" vertical="center" wrapText="0"/>
    </x:xf>
    <x:xf numFmtId="0" fontId="22" fillId="5" borderId="0" xfId="0" applyNumberFormat="1" applyFont="1" applyFill="1" applyBorder="1" applyAlignment="1">
      <x:alignment horizontal="left" vertical="center" wrapText="0"/>
    </x:xf>
    <x:xf numFmtId="0" fontId="22" fillId="5" borderId="0" xfId="0" applyNumberFormat="1" applyFont="1" applyFill="1" applyBorder="1" applyAlignment="1">
      <x:alignment horizontal="center" vertical="center" wrapText="0"/>
    </x:xf>
    <x:xf numFmtId="0" fontId="32" fillId="4" borderId="0" xfId="0" applyNumberFormat="1" applyFont="1" applyFill="1" applyBorder="1" applyAlignment="1">
      <x:alignment horizontal="left" vertical="center"/>
    </x:xf>
    <x:xf numFmtId="0" fontId="32" fillId="4" borderId="0" xfId="0" applyNumberFormat="1" applyFont="1" applyFill="1" applyBorder="1" applyAlignment="1">
      <x:alignment horizontal="left" vertical="center" wrapText="0"/>
    </x:xf>
    <x:xf numFmtId="0" fontId="32" fillId="4" borderId="0" xfId="0" applyNumberFormat="1" applyFont="1" applyFill="1" applyBorder="1" applyAlignment="1">
      <x:alignment horizontal="center" vertical="center" wrapText="0"/>
    </x:xf>
    <x:xf numFmtId="0" fontId="22" fillId="4" borderId="0" xfId="0" applyNumberFormat="1" applyFont="1" applyFill="1" applyBorder="1" applyAlignment="1">
      <x:alignment horizontal="left" vertical="center"/>
    </x:xf>
    <x:xf numFmtId="0" fontId="22" fillId="4" borderId="0" xfId="0" applyNumberFormat="1" applyFont="1" applyFill="1" applyBorder="1" applyAlignment="1">
      <x:alignment horizontal="left" vertical="center" wrapText="1"/>
    </x:xf>
    <x:xf numFmtId="0" fontId="16" fillId="5" borderId="3" xfId="0" applyNumberFormat="1" applyFont="1" applyFill="1" applyBorder="1" applyAlignment="1">
      <x:alignment horizontal="left" vertical="center"/>
    </x:xf>
    <x:xf numFmtId="0" fontId="16" fillId="5" borderId="4" xfId="0" applyNumberFormat="1" applyFont="1" applyFill="1" applyBorder="1" applyAlignment="1">
      <x:alignment horizontal="left" vertical="center"/>
    </x:xf>
    <x:xf numFmtId="0" fontId="16" fillId="5" borderId="5" xfId="0" applyNumberFormat="1" applyFont="1" applyFill="1" applyBorder="1" applyAlignment="1">
      <x:alignment horizontal="left" vertical="center"/>
    </x:xf>
    <x:xf numFmtId="0" fontId="16" fillId="5" borderId="6" xfId="0" applyNumberFormat="1" applyFont="1" applyFill="1" applyBorder="1" applyAlignment="1">
      <x:alignment horizontal="left" vertical="center"/>
    </x:xf>
    <x:xf numFmtId="0" fontId="16" fillId="5" borderId="7" xfId="0" applyNumberFormat="1" applyFont="1" applyFill="1" applyBorder="1" applyAlignment="1">
      <x:alignment horizontal="left" vertical="center"/>
    </x:xf>
    <x:xf numFmtId="0" fontId="16" fillId="5" borderId="8" xfId="0" applyNumberFormat="1" applyFont="1" applyFill="1" applyBorder="1" applyAlignment="1">
      <x:alignment horizontal="left" vertical="center"/>
    </x:xf>
    <x:xf numFmtId="0" fontId="16" fillId="5" borderId="9" xfId="0" applyNumberFormat="1" applyFont="1" applyFill="1" applyBorder="1" applyAlignment="1">
      <x:alignment horizontal="left" vertical="center"/>
    </x:xf>
    <x:xf numFmtId="0" fontId="27" fillId="5" borderId="0" xfId="0" applyNumberFormat="1" applyFont="1" applyFill="1" applyBorder="1" applyAlignment="1">
      <x:alignment horizontal="left" vertical="center"/>
    </x:xf>
    <x:xf numFmtId="0" fontId="27" fillId="5" borderId="0" xfId="0" applyNumberFormat="1" applyFont="1" applyFill="1" applyBorder="1" applyAlignment="1">
      <x:alignment horizontal="left" vertical="center" wrapText="1"/>
    </x:xf>
    <x:xf numFmtId="0" fontId="21" fillId="5" borderId="0" xfId="0" applyNumberFormat="1" applyFont="1" applyFill="1" applyBorder="1" applyAlignment="1">
      <x:alignment horizontal="left" vertical="center" wrapText="1"/>
    </x:xf>
    <x:xf numFmtId="0" fontId="33" fillId="5" borderId="0" xfId="0" applyNumberFormat="1" applyFont="1" applyFill="1" applyBorder="1" applyAlignment="1">
      <x:alignment horizontal="left" vertical="center"/>
    </x:xf>
    <x:xf numFmtId="0" fontId="33" fillId="5" borderId="0" xfId="0" applyNumberFormat="1" applyFont="1" applyFill="1" applyBorder="1" applyAlignment="1">
      <x:alignment horizontal="left" vertical="center" wrapText="0"/>
    </x:xf>
    <x:xf numFmtId="211" fontId="33" fillId="5" borderId="0" xfId="0" applyNumberFormat="1" applyFont="1" applyFill="1" applyBorder="1" applyAlignment="1">
      <x:alignment horizontal="left" vertical="center" wrapText="0"/>
    </x:xf>
    <x:xf numFmtId="0" fontId="34" fillId="5" borderId="0" xfId="0" applyNumberFormat="1" applyFont="1" applyFill="1" applyBorder="1" applyAlignment="1">
      <x:alignment horizontal="left" vertical="center"/>
    </x:xf>
    <x:xf numFmtId="0" fontId="34" fillId="5" borderId="0" xfId="0" applyNumberFormat="1" applyFont="1" applyFill="1" applyBorder="1" applyAlignment="1">
      <x:alignment horizontal="left" vertical="center" wrapText="0"/>
    </x:xf>
    <x:xf numFmtId="0" fontId="35" fillId="5" borderId="0" xfId="0" applyNumberFormat="1" applyFont="1" applyFill="1" applyBorder="1" applyAlignment="1">
      <x:alignment horizontal="left" vertical="center"/>
    </x:xf>
    <x:xf numFmtId="0" fontId="35" fillId="5" borderId="0" xfId="0" applyNumberFormat="1" applyFont="1" applyFill="1" applyBorder="1" applyAlignment="1">
      <x:alignment horizontal="left" vertical="center" wrapText="1"/>
    </x:xf>
    <x:xf numFmtId="0" fontId="36" fillId="5" borderId="0" xfId="0" applyNumberFormat="1" applyFont="1" applyFill="1" applyBorder="1" applyAlignment="1">
      <x:alignment horizontal="left" vertical="center"/>
    </x:xf>
    <x:xf numFmtId="0" fontId="36" fillId="5" borderId="0" xfId="0" applyNumberFormat="1" applyFont="1" applyFill="1" applyBorder="1" applyAlignment="1">
      <x:alignment horizontal="left" vertical="center" wrapText="0"/>
    </x:xf>
    <x:xf numFmtId="0" fontId="36" fillId="5" borderId="0" xfId="0" applyNumberFormat="1" applyFont="1" applyFill="1" applyBorder="1" applyAlignment="1">
      <x:alignment horizontal="right" vertical="center" wrapText="0"/>
    </x:xf>
    <x:xf numFmtId="212" fontId="36" fillId="5" borderId="0" xfId="0" applyNumberFormat="1" applyFont="1" applyFill="1" applyBorder="1" applyAlignment="1">
      <x:alignment horizontal="right" vertical="center" wrapText="0"/>
    </x:xf>
    <x:xf numFmtId="0" fontId="37" fillId="5" borderId="0" xfId="0" applyNumberFormat="1" applyFont="1" applyFill="1" applyBorder="1" applyAlignment="1">
      <x:alignment horizontal="left" vertical="center"/>
    </x:xf>
    <x:xf numFmtId="0" fontId="37" fillId="5" borderId="0" xfId="0" applyNumberFormat="1" applyFont="1" applyFill="1" applyBorder="1" applyAlignment="1">
      <x:alignment horizontal="left" vertical="center" wrapText="0"/>
    </x:xf>
    <x:xf numFmtId="0" fontId="38" fillId="5" borderId="0" xfId="0" applyNumberFormat="1" applyFont="1" applyFill="1" applyBorder="1" applyAlignment="1">
      <x:alignment horizontal="left" vertical="center"/>
    </x:xf>
    <x:xf numFmtId="0" fontId="38" fillId="5" borderId="0" xfId="0" applyNumberFormat="1" applyFont="1" applyFill="1" applyBorder="1" applyAlignment="1">
      <x:alignment horizontal="left" vertical="center" wrapText="0"/>
    </x:xf>
    <x:xf numFmtId="0" fontId="38" fillId="5" borderId="2" xfId="0" applyNumberFormat="1" applyFont="1" applyFill="1" applyBorder="1" applyAlignment="1">
      <x:alignment horizontal="left" vertical="center"/>
    </x:xf>
    <x:xf numFmtId="0" fontId="38" fillId="5" borderId="0" xfId="0" applyNumberFormat="1" applyFont="1" applyFill="1" applyBorder="1" applyAlignment="1">
      <x:alignment horizontal="left" vertical="center" wrapText="1"/>
    </x:xf>
    <x:xf numFmtId="0" fontId="38" fillId="5" borderId="2" xfId="0" applyNumberFormat="1" applyFont="1" applyFill="1" applyBorder="1" applyAlignment="1">
      <x:alignment horizontal="left" vertical="center" wrapText="1"/>
    </x:xf>
    <x:xf numFmtId="0" fontId="39" fillId="5" borderId="0" xfId="0" applyNumberFormat="1" applyFont="1" applyFill="1" applyBorder="1" applyAlignment="1">
      <x:alignment horizontal="left" vertical="center"/>
    </x:xf>
    <x:xf numFmtId="0" fontId="39" fillId="5" borderId="0" xfId="0" applyNumberFormat="1" applyFont="1" applyFill="1" applyBorder="1" applyAlignment="1">
      <x:alignment horizontal="left" vertical="center" wrapText="0"/>
    </x:xf>
    <x:xf numFmtId="0" fontId="40" fillId="4" borderId="0" xfId="0" applyNumberFormat="1" applyFont="1" applyFill="1" applyBorder="1" applyAlignment="1">
      <x:alignment horizontal="left" vertical="center"/>
    </x:xf>
    <x:xf numFmtId="0" fontId="40" fillId="4" borderId="0" xfId="0" applyNumberFormat="1" applyFont="1" applyFill="1" applyBorder="1" applyAlignment="1">
      <x:alignment horizontal="left" vertical="center" wrapText="0"/>
    </x:xf>
    <x:xf numFmtId="0" fontId="40" fillId="5" borderId="0" xfId="0" applyNumberFormat="1" applyFont="1" applyFill="1" applyBorder="1" applyAlignment="1">
      <x:alignment horizontal="left" vertical="center" wrapText="0"/>
    </x:xf>
    <x:xf numFmtId="0" fontId="41" fillId="4" borderId="0" xfId="0" applyNumberFormat="1" applyFont="1" applyFill="1" applyBorder="1" applyAlignment="1">
      <x:alignment horizontal="left" vertical="center"/>
    </x:xf>
    <x:xf numFmtId="0" fontId="41" fillId="4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  <x:dxfs count="3">
    <x:dxf>
      <x:font>
        <x:b/>
        <x:color rgb="FFBE3232"/>
      </x:font>
      <x:fill>
        <x:patternFill patternType="solid">
          <x:bgColor rgb="FFFBE8E8"/>
        </x:patternFill>
      </x:fill>
    </x:dxf>
    <x:dxf>
      <x:font>
        <x:b/>
        <x:color rgb="FFBE3232"/>
      </x:font>
      <x:fill>
        <x:patternFill patternType="solid">
          <x:bgColor rgb="FFFBE8E8"/>
        </x:patternFill>
      </x:fill>
    </x:dxf>
    <x:dxf>
      <x:font>
        <x:b/>
        <x:color rgb="FFBE3232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f3c2499bf42f4" /><Relationship Type="http://schemas.openxmlformats.org/officeDocument/2006/relationships/theme" Target="/xl/theme/theme1.xml" Id="R4922ccd0be4d44d5" /><Relationship Type="http://schemas.openxmlformats.org/officeDocument/2006/relationships/sharedStrings" Target="/xl/sharedStrings.xml" Id="Rd6613ed00a1a4c83" /><Relationship Type="http://schemas.openxmlformats.org/officeDocument/2006/relationships/worksheet" Target="/xl/worksheets/sheet1.xml" Id="Rf9abaafb222b41f9" /><Relationship Type="http://schemas.openxmlformats.org/officeDocument/2006/relationships/worksheet" Target="/xl/worksheets/sheet2.xml" Id="Ra479f771d4e5468a" /><Relationship Type="http://schemas.openxmlformats.org/officeDocument/2006/relationships/worksheet" Target="/xl/worksheets/sheet3.xml" Id="R72c323fb31ea4115" /><Relationship Type="http://schemas.openxmlformats.org/officeDocument/2006/relationships/worksheet" Target="/xl/worksheets/sheet4.xml" Id="R8b525bd4f219402a" /></Relationships>
</file>

<file path=xl/ctrlProps/ctrlProp1.xml><?xml version="1.0" encoding="utf-8"?>
<formControlPr xmlns="http://schemas.microsoft.com/office/spreadsheetml/2009/9/main" objectType="Scroll" val="50" min="0" max="200" inc="5" page="25" horiz="1" dx="30" noThreeD="1" fmlaLink="'Scenario'!$AC$9"/>
</file>

<file path=xl/ctrlProps/ctrlProp2.xml><?xml version="1.0" encoding="utf-8"?>
<formControlPr xmlns="http://schemas.microsoft.com/office/spreadsheetml/2009/9/main" objectType="Scroll" val="5" min="2" max="5" inc="1" page="1" horiz="1" dx="30" noThreeD="1" fmlaLink="'Scenario'!$AC$15"/>
</file>

<file path=xl/ctrlProps/ctrlProp3.xml><?xml version="1.0" encoding="utf-8"?>
<formControlPr xmlns="http://schemas.microsoft.com/office/spreadsheetml/2009/9/main" objectType="Scroll" val="35" min="0" max="100" inc="1" page="5" horiz="1" dx="30" noThreeD="1" fmlaLink="'Scenario'!$AC$21"/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1f7e48207624b2c" /><Relationship Type="http://schemas.openxmlformats.org/officeDocument/2006/relationships/image" Target="/xl/media/image2.png" Id="Rc3fbec406ccd4de5" /><Relationship Type="http://schemas.openxmlformats.org/officeDocument/2006/relationships/image" Target="/xl/media/image3.png" Id="R4c29ea772ea346ee" /><Relationship Type="http://schemas.openxmlformats.org/officeDocument/2006/relationships/image" Target="/xl/media/image4.png" Id="Re3daf34f83854022" /><Relationship Type="http://schemas.openxmlformats.org/officeDocument/2006/relationships/image" Target="/xl/media/image5.png" Id="R2ff8c3c520854d6d" /><Relationship Type="http://schemas.openxmlformats.org/officeDocument/2006/relationships/image" Target="/xl/media/image6.png" Id="R0840cc82cd6e42fd" /><Relationship Type="http://schemas.openxmlformats.org/officeDocument/2006/relationships/image" Target="/xl/media/image7.png" Id="R215931b58a8c4245" /><Relationship Type="http://schemas.openxmlformats.org/officeDocument/2006/relationships/image" Target="/xl/media/image8.png" Id="R1cb6bbc9278c41db" /><Relationship Type="http://schemas.openxmlformats.org/officeDocument/2006/relationships/image" Target="/xl/media/image9.png" Id="Rc8a7ac3b6f284cef" /><Relationship Type="http://schemas.openxmlformats.org/officeDocument/2006/relationships/image" Target="/xl/media/image10.png" Id="R50abd18a43a3449c" /><Relationship Type="http://schemas.openxmlformats.org/officeDocument/2006/relationships/image" Target="/xl/media/image11.png" Id="R76e6ca44017d4903" /><Relationship Type="http://schemas.openxmlformats.org/officeDocument/2006/relationships/image" Target="/xl/media/image12.png" Id="R5273276544614660" /><Relationship Type="http://schemas.openxmlformats.org/officeDocument/2006/relationships/image" Target="/xl/media/image13.png" Id="Rb0c77b457e8c46fc" /><Relationship Type="http://schemas.openxmlformats.org/officeDocument/2006/relationships/image" Target="/xl/media/image14.png" Id="Rd4ec03cbe7844f8d" /><Relationship Type="http://schemas.openxmlformats.org/officeDocument/2006/relationships/chart" Target="/xl/drawings/charts/chart1.xml" Id="R70ff08a72ea04f26" /><Relationship Type="http://schemas.openxmlformats.org/officeDocument/2006/relationships/chart" Target="/xl/drawings/charts/chart2.xml" Id="Rf36519740be440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Purchasing indices (1× baseline)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AI cohort</c:v>
          </c:tx>
          <c:spPr>
            <a:solidFill xmlns:a="http://schemas.openxmlformats.org/drawingml/2006/main">
              <a:srgbClr val="00355F"/>
            </a:solidFill>
          </c:spPr>
          <c:invertIfNegative val="0"/>
          <c:cat>
            <c:strRef>
              <c:f>'Calculations'!$C$78:$C$83</c:f>
              <c:strCache>
                <c:ptCount val="0"/>
              </c:strCache>
            </c:strRef>
          </c:cat>
          <c:val>
            <c:numRef>
              <c:f>'Calculations'!$D$78:$D$83</c:f>
              <c:numCache>
                <c:formatCode>#,##0.00;(#,##0.00);"-"</c:formatCode>
                <c:ptCount val="0"/>
              </c:numCache>
            </c:numRef>
          </c:val>
        </c:ser>
        <c:ser>
          <c:idx val="1"/>
          <c:order val="1"/>
          <c:tx>
            <c:v>Whole family</c:v>
          </c:tx>
          <c:spPr>
            <a:solidFill xmlns:a="http://schemas.openxmlformats.org/drawingml/2006/main">
              <a:srgbClr val="ACD4F1"/>
            </a:solidFill>
          </c:spPr>
          <c:invertIfNegative val="0"/>
          <c:cat>
            <c:strRef>
              <c:f>'Calculations'!$C$78:$C$83</c:f>
              <c:strCache>
                <c:ptCount val="0"/>
              </c:strCache>
            </c:strRef>
          </c:cat>
          <c:val>
            <c:numRef>
              <c:f>'Calculations'!$E$78:$E$83</c:f>
              <c:numCache>
                <c:formatCode>#,##0.00;(#,##0.00);"-"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x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Funded throughput by year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Build</c:v>
          </c:tx>
          <c:spPr>
            <a:ln xmlns:a="http://schemas.openxmlformats.org/drawingml/2006/main" w="28575">
              <a:solidFill>
                <a:srgbClr val="7399C6"/>
              </a:solidFill>
              <a:prstDash val="solid"/>
            </a:ln>
          </c:spPr>
          <c:marker>
            <c:symbol val="none"/>
          </c:marker>
          <c:cat>
            <c:strRef>
              <c:f>'Calculations'!$C$86:$C$91</c:f>
              <c:strCache>
                <c:ptCount val="0"/>
              </c:strCache>
            </c:strRef>
          </c:cat>
          <c:val>
            <c:numRef>
              <c:f>'Calculations'!$D$86:$D$91</c:f>
              <c:numCache>
                <c:formatCode>#,##0.00;(#,##0.00);"-"</c:formatCode>
                <c:ptCount val="0"/>
              </c:numCache>
            </c:numRef>
          </c:val>
          <c:smooth val="0"/>
        </c:ser>
        <c:ser>
          <c:idx val="1"/>
          <c:order val="1"/>
          <c:tx>
            <c:v>Test</c:v>
          </c:tx>
          <c:spPr>
            <a:ln xmlns:a="http://schemas.openxmlformats.org/drawingml/2006/main" w="28575">
              <a:solidFill>
                <a:srgbClr val="00355F"/>
              </a:solidFill>
              <a:prstDash val="solid"/>
            </a:ln>
          </c:spPr>
          <c:marker>
            <c:symbol val="none"/>
          </c:marker>
          <c:cat>
            <c:strRef>
              <c:f>'Calculations'!$C$86:$C$91</c:f>
              <c:strCache>
                <c:ptCount val="0"/>
              </c:strCache>
            </c:strRef>
          </c:cat>
          <c:val>
            <c:numRef>
              <c:f>'Calculations'!$E$86:$E$91</c:f>
              <c:numCache>
                <c:formatCode>#,##0.00;(#,##0.00);"-"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x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92</xdr:row>
      <xdr:rowOff>0</xdr:rowOff>
    </xdr:from>
    <xdr:to>
      <xdr:col>32</xdr:col>
      <xdr:colOff>0</xdr:colOff>
      <xdr:row>113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ff08a72ea04f26"/>
        </a:graphicData>
      </a:graphic>
    </xdr:graphicFrame>
    <xdr:clientData/>
  </xdr:twoCellAnchor>
  <xdr:twoCellAnchor>
    <xdr:from>
      <xdr:col>33</xdr:col>
      <xdr:colOff>0</xdr:colOff>
      <xdr:row>92</xdr:row>
      <xdr:rowOff>0</xdr:rowOff>
    </xdr:from>
    <xdr:to>
      <xdr:col>64</xdr:col>
      <xdr:colOff>0</xdr:colOff>
      <xdr:row>113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6519740be440cf"/>
        </a:graphicData>
      </a:graphic>
    </xdr:graphicFrame>
    <xdr:clientData/>
  </xdr:twoCellAnchor>
  <xdr:oneCellAnchor>
    <xdr:from>
      <xdr:col>18</xdr:col>
      <xdr:colOff>0</xdr:colOff>
      <xdr:row>38</xdr:row>
      <xdr:rowOff>0</xdr:rowOff>
    </xdr:from>
    <xdr:ext cx="257175" cy="257175"/>
    <xdr:pic>
      <xdr:nvPicPr>
        <xdr:cNvPr id="3" name="e5c429ea-ea39-42a3-8151-d7bd610aeb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f7e48207624b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51</xdr:row>
      <xdr:rowOff>0</xdr:rowOff>
    </xdr:from>
    <xdr:ext cx="646771" cy="276225"/>
    <xdr:pic>
      <xdr:nvPicPr>
        <xdr:cNvPr id="4" name="e49f7f2c-c4ad-4077-8543-0ea1d5a7d9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fbec406ccd4d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22</xdr:col>
      <xdr:colOff>0</xdr:colOff>
      <xdr:row>51</xdr:row>
      <xdr:rowOff>0</xdr:rowOff>
    </xdr:from>
    <xdr:ext cx="974460" cy="276225"/>
    <xdr:pic>
      <xdr:nvPicPr>
        <xdr:cNvPr id="5" name="189423d2-8784-4b3c-b946-add8672d58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29ea772ea346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34</xdr:col>
      <xdr:colOff>0</xdr:colOff>
      <xdr:row>38</xdr:row>
      <xdr:rowOff>0</xdr:rowOff>
    </xdr:from>
    <xdr:ext cx="257175" cy="257175"/>
    <xdr:pic>
      <xdr:nvPicPr>
        <xdr:cNvPr id="6" name="5e1fb530-d297-4b19-ab41-fc56313958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daf34f838540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34</xdr:col>
      <xdr:colOff>0</xdr:colOff>
      <xdr:row>51</xdr:row>
      <xdr:rowOff>0</xdr:rowOff>
    </xdr:from>
    <xdr:ext cx="854923" cy="276225"/>
    <xdr:pic>
      <xdr:nvPicPr>
        <xdr:cNvPr id="7" name="11f2dc4f-2bae-4581-8e0f-0e92ae7199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f8c3c520854d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50</xdr:col>
      <xdr:colOff>0</xdr:colOff>
      <xdr:row>38</xdr:row>
      <xdr:rowOff>0</xdr:rowOff>
    </xdr:from>
    <xdr:ext cx="257175" cy="257175"/>
    <xdr:pic>
      <xdr:nvPicPr>
        <xdr:cNvPr id="8" name="378b295a-6e97-4b64-9445-c8dfa24d90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40cc82cd6e42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61</xdr:row>
      <xdr:rowOff>0</xdr:rowOff>
    </xdr:from>
    <xdr:ext cx="257175" cy="257175"/>
    <xdr:pic>
      <xdr:nvPicPr>
        <xdr:cNvPr id="9" name="c378e06f-c9f2-4ce0-a472-861b686838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5931b58a8c42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0</xdr:colOff>
      <xdr:row>74</xdr:row>
      <xdr:rowOff>0</xdr:rowOff>
    </xdr:from>
    <xdr:ext cx="552450" cy="276225"/>
    <xdr:pic>
      <xdr:nvPicPr>
        <xdr:cNvPr id="10" name="ab630878-cdde-482b-acbc-e5ca7c180d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b6bbc9278c41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21</xdr:col>
      <xdr:colOff>0</xdr:colOff>
      <xdr:row>74</xdr:row>
      <xdr:rowOff>0</xdr:rowOff>
    </xdr:from>
    <xdr:ext cx="718185" cy="276225"/>
    <xdr:pic>
      <xdr:nvPicPr>
        <xdr:cNvPr id="11" name="13b1b01c-056b-41ea-81d0-8a46c23bb1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a7ac3b6f284c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34</xdr:col>
      <xdr:colOff>0</xdr:colOff>
      <xdr:row>61</xdr:row>
      <xdr:rowOff>0</xdr:rowOff>
    </xdr:from>
    <xdr:ext cx="257175" cy="257175"/>
    <xdr:pic>
      <xdr:nvPicPr>
        <xdr:cNvPr id="12" name="796172df-4e4e-42bf-9889-ec44ce6406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abd18a43a344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34</xdr:col>
      <xdr:colOff>0</xdr:colOff>
      <xdr:row>74</xdr:row>
      <xdr:rowOff>0</xdr:rowOff>
    </xdr:from>
    <xdr:ext cx="871066" cy="276225"/>
    <xdr:pic>
      <xdr:nvPicPr>
        <xdr:cNvPr id="13" name="e07b264b-6e97-4c0f-980a-ad3cdc8cbd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e6ca44017d49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50</xdr:col>
      <xdr:colOff>0</xdr:colOff>
      <xdr:row>61</xdr:row>
      <xdr:rowOff>0</xdr:rowOff>
    </xdr:from>
    <xdr:ext cx="257175" cy="257175"/>
    <xdr:pic>
      <xdr:nvPicPr>
        <xdr:cNvPr id="14" name="5d63f6e9-5f1b-4f67-aaa7-dd5ae6231b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32765446146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50</xdr:col>
      <xdr:colOff>0</xdr:colOff>
      <xdr:row>74</xdr:row>
      <xdr:rowOff>0</xdr:rowOff>
    </xdr:from>
    <xdr:ext cx="276225" cy="276225"/>
    <xdr:pic>
      <xdr:nvPicPr>
        <xdr:cNvPr id="15" name="557ad4d2-dc43-45e7-9012-c382436546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c77b457e8c46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52</xdr:col>
      <xdr:colOff>0</xdr:colOff>
      <xdr:row>74</xdr:row>
      <xdr:rowOff>0</xdr:rowOff>
    </xdr:from>
    <xdr:ext cx="993905" cy="276225"/>
    <xdr:pic>
      <xdr:nvPicPr>
        <xdr:cNvPr id="16" name="6b879e1b-2350-4627-a4be-4264a33a9e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ec03cbe7844f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drawing" Target="/xl/drawings/drawing1.xml" Id="R1134252c45ae4105"/><Relationship Id="rId1" Type="http://schemas.openxmlformats.org/officeDocument/2006/relationships/vmlDrawing" Target="../drawings/vmlDrawing1.vml"/><Relationship Id="rId2" Type="http://schemas.openxmlformats.org/officeDocument/2006/relationships/ctrlProp" Target="../ctrlProps/ctrlProp1.xml"/><Relationship Id="rId3" Type="http://schemas.openxmlformats.org/officeDocument/2006/relationships/ctrlProp" Target="../ctrlProps/ctrlProp2.xml"/><Relationship Id="rId4" Type="http://schemas.openxmlformats.org/officeDocument/2006/relationships/ctrlProp" Target="../ctrlProps/ctrlProp3.xml"/></Relationships>
</file>

<file path=xl/worksheets/sheet1.xml><?xml version="1.0" encoding="utf-8"?>
<x:worksheet xmlns:x="http://schemas.openxmlformats.org/spreadsheetml/2006/main">
  <x:sheetPr>
    <x:tabColor rgb="FF00355F"/>
  </x:sheetPr>
  <x:sheetViews>
    <x:sheetView showGridLines="0" workbookViewId="0"/>
  </x:sheetViews>
  <x:sheetFormatPr defaultRowHeight="15"/>
  <x:cols>
    <x:col min="1" max="1" width="2.890000104904175" hidden="0" customWidth="1"/>
    <x:col min="2" max="2" width="2.890000104904175" hidden="0" customWidth="1"/>
    <x:col min="3" max="3" width="2.890000104904175" hidden="0" customWidth="1"/>
    <x:col min="4" max="4" width="2.890000104904175" hidden="0" customWidth="1"/>
    <x:col min="5" max="5" width="2.890000104904175" hidden="0" customWidth="1"/>
    <x:col min="6" max="6" width="2.890000104904175" hidden="0" customWidth="1"/>
    <x:col min="7" max="7" width="2.890000104904175" hidden="0" customWidth="1"/>
    <x:col min="8" max="8" width="2.890000104904175" hidden="0" customWidth="1"/>
    <x:col min="9" max="9" width="2.890000104904175" hidden="0" customWidth="1"/>
    <x:col min="10" max="10" width="2.890000104904175" hidden="0" customWidth="1"/>
    <x:col min="11" max="11" width="2.890000104904175" hidden="0" customWidth="1"/>
    <x:col min="12" max="12" width="2.890000104904175" hidden="0" customWidth="1"/>
    <x:col min="13" max="13" width="2.890000104904175" hidden="0" customWidth="1"/>
    <x:col min="14" max="14" width="2.890000104904175" hidden="0" customWidth="1"/>
    <x:col min="15" max="15" width="2.890000104904175" hidden="0" customWidth="1"/>
    <x:col min="16" max="16" width="2.890000104904175" hidden="0" customWidth="1"/>
    <x:col min="17" max="17" width="2.890000104904175" hidden="0" customWidth="1"/>
    <x:col min="18" max="18" width="2.890000104904175" hidden="0" customWidth="1"/>
    <x:col min="19" max="19" width="2.890000104904175" hidden="0" customWidth="1"/>
    <x:col min="20" max="20" width="2.890000104904175" hidden="0" customWidth="1"/>
    <x:col min="21" max="21" width="2.890000104904175" hidden="0" customWidth="1"/>
    <x:col min="22" max="22" width="2.890000104904175" hidden="0" customWidth="1"/>
    <x:col min="23" max="23" width="2.890000104904175" hidden="0" customWidth="1"/>
    <x:col min="24" max="24" width="2.890000104904175" hidden="0" customWidth="1"/>
    <x:col min="25" max="25" width="2.890000104904175" hidden="0" customWidth="1"/>
    <x:col min="26" max="26" width="2.890000104904175" hidden="0" customWidth="1"/>
    <x:col min="27" max="27" width="2.890000104904175" hidden="0" customWidth="1"/>
    <x:col min="28" max="28" width="2.890000104904175" hidden="0" customWidth="1"/>
    <x:col min="29" max="29" width="2.890000104904175" hidden="0" customWidth="1"/>
    <x:col min="30" max="30" width="2.890000104904175" hidden="0" customWidth="1"/>
    <x:col min="31" max="31" width="2.890000104904175" hidden="0" customWidth="1"/>
    <x:col min="32" max="32" width="2.890000104904175" hidden="0" customWidth="1"/>
    <x:col min="33" max="33" width="2.890000104904175" hidden="0" customWidth="1"/>
    <x:col min="34" max="34" width="2.890000104904175" hidden="0" customWidth="1"/>
    <x:col min="35" max="35" width="2.890000104904175" hidden="0" customWidth="1"/>
    <x:col min="36" max="36" width="2.890000104904175" hidden="0" customWidth="1"/>
    <x:col min="37" max="37" width="2.890000104904175" hidden="0" customWidth="1"/>
    <x:col min="38" max="38" width="2.890000104904175" hidden="0" customWidth="1"/>
    <x:col min="39" max="39" width="2.890000104904175" hidden="0" customWidth="1"/>
    <x:col min="40" max="40" width="2.890000104904175" hidden="0" customWidth="1"/>
    <x:col min="41" max="41" width="2.890000104904175" hidden="0" customWidth="1"/>
    <x:col min="42" max="42" width="2.890000104904175" hidden="0" customWidth="1"/>
    <x:col min="43" max="43" width="2.890000104904175" hidden="0" customWidth="1"/>
    <x:col min="44" max="44" width="2.890000104904175" hidden="0" customWidth="1"/>
    <x:col min="45" max="45" width="2.890000104904175" hidden="0" customWidth="1"/>
    <x:col min="46" max="46" width="2.890000104904175" hidden="0" customWidth="1"/>
    <x:col min="47" max="47" width="2.890000104904175" hidden="0" customWidth="1"/>
    <x:col min="48" max="48" width="2.890000104904175" hidden="0" customWidth="1"/>
    <x:col min="49" max="49" width="2.890000104904175" hidden="0" customWidth="1"/>
    <x:col min="50" max="50" width="2.890000104904175" hidden="0" customWidth="1"/>
    <x:col min="51" max="51" width="2.890000104904175" hidden="0" customWidth="1"/>
    <x:col min="52" max="52" width="2.890000104904175" hidden="0" customWidth="1"/>
    <x:col min="53" max="53" width="2.890000104904175" hidden="0" customWidth="1"/>
    <x:col min="54" max="54" width="2.890000104904175" hidden="0" customWidth="1"/>
    <x:col min="55" max="55" width="2.890000104904175" hidden="0" customWidth="1"/>
    <x:col min="56" max="56" width="2.890000104904175" hidden="0" customWidth="1"/>
    <x:col min="57" max="57" width="2.890000104904175" hidden="0" customWidth="1"/>
    <x:col min="58" max="58" width="2.890000104904175" hidden="0" customWidth="1"/>
    <x:col min="59" max="59" width="2.890000104904175" hidden="0" customWidth="1"/>
    <x:col min="60" max="60" width="2.890000104904175" hidden="0" customWidth="1"/>
    <x:col min="61" max="61" width="2.890000104904175" hidden="0" customWidth="1"/>
    <x:col min="62" max="62" width="2.890000104904175" hidden="0" customWidth="1"/>
    <x:col min="63" max="63" width="2.890000104904175" hidden="0" customWidth="1"/>
    <x:col min="64" max="64" width="2.890000104904175" hidden="0" customWidth="1"/>
    <x:col min="65" max="65" width="2.890000104904175" hidden="0" customWidth="1"/>
    <x:col min="66" max="66" width="2.890000104904175" hidden="0" customWidth="1"/>
  </x:cols>
  <x:sheetData>
    <x:row r="1" ht="18" customHeight="1">
      <x:c r="A1" s="83"/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  <x:c r="P1" s="83"/>
      <x:c r="Q1" s="83"/>
      <x:c r="R1" s="83"/>
      <x:c r="S1" s="83"/>
      <x:c r="T1" s="83"/>
      <x:c r="U1" s="83"/>
      <x:c r="V1" s="83"/>
      <x:c r="W1" s="83"/>
      <x:c r="X1" s="83"/>
      <x:c r="Y1" s="83"/>
      <x:c r="Z1" s="83"/>
      <x:c r="AA1" s="83"/>
      <x:c r="AB1" s="83"/>
      <x:c r="AC1" s="83"/>
      <x:c r="AD1" s="83"/>
      <x:c r="AE1" s="83"/>
      <x:c r="AF1" s="83"/>
      <x:c r="AG1" s="83"/>
      <x:c r="AH1" s="83"/>
      <x:c r="AI1" s="83"/>
      <x:c r="AJ1" s="83"/>
      <x:c r="AK1" s="83"/>
      <x:c r="AL1" s="83"/>
      <x:c r="AM1" s="83"/>
      <x:c r="AN1" s="83"/>
      <x:c r="AO1" s="83"/>
      <x:c r="AP1" s="83"/>
      <x:c r="AQ1" s="83"/>
      <x:c r="AR1" s="83"/>
      <x:c r="AS1" s="83"/>
      <x:c r="AT1" s="83"/>
      <x:c r="AU1" s="83"/>
      <x:c r="AV1" s="83"/>
      <x:c r="AW1" s="83"/>
      <x:c r="AX1" s="83"/>
      <x:c r="AY1" s="83"/>
      <x:c r="AZ1" s="83"/>
      <x:c r="BA1" s="83"/>
      <x:c r="BB1" s="83"/>
      <x:c r="BC1" s="83"/>
      <x:c r="BD1" s="83"/>
      <x:c r="BE1" s="83"/>
      <x:c r="BF1" s="83"/>
      <x:c r="BG1" s="83"/>
      <x:c r="BH1" s="83"/>
      <x:c r="BI1" s="83"/>
      <x:c r="BJ1" s="83"/>
      <x:c r="BK1" s="83"/>
      <x:c r="BL1" s="83"/>
      <x:c r="BM1" s="83"/>
      <x:c r="BN1" s="83"/>
    </x:row>
    <x:row r="2" ht="18" customHeight="1">
      <x:c r="A2" s="83"/>
      <x:c r="B2" s="83"/>
      <x:c r="C2" s="85" t="str">
        <x:v>From investment to experimental capacity</x:v>
      </x:c>
      <x:c r="D2" s="85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  <x:c r="AA2" s="85"/>
      <x:c r="AB2" s="85"/>
      <x:c r="AC2" s="85"/>
      <x:c r="AD2" s="85"/>
      <x:c r="AE2" s="85"/>
      <x:c r="AF2" s="85"/>
      <x:c r="AG2" s="85"/>
      <x:c r="AH2" s="85"/>
      <x:c r="AI2" s="85"/>
      <x:c r="AJ2" s="85"/>
      <x:c r="AK2" s="85"/>
      <x:c r="AL2" s="85"/>
      <x:c r="AM2" s="85"/>
      <x:c r="AN2" s="85"/>
      <x:c r="AO2" s="85"/>
      <x:c r="AP2" s="85"/>
      <x:c r="AQ2" s="85"/>
      <x:c r="AR2" s="85"/>
      <x:c r="AS2" s="85"/>
      <x:c r="AT2" s="85"/>
      <x:c r="AU2" s="85"/>
      <x:c r="AV2" s="85"/>
      <x:c r="AW2" s="85"/>
      <x:c r="AX2" s="85"/>
      <x:c r="AY2" s="85"/>
      <x:c r="AZ2" s="85"/>
      <x:c r="BA2" s="85"/>
      <x:c r="BB2" s="85"/>
      <x:c r="BC2" s="85"/>
      <x:c r="BD2" s="85"/>
      <x:c r="BE2" s="85"/>
      <x:c r="BF2" s="85"/>
      <x:c r="BG2" s="85"/>
      <x:c r="BH2" s="85"/>
      <x:c r="BI2" s="85"/>
      <x:c r="BJ2" s="85"/>
      <x:c r="BK2" s="85"/>
      <x:c r="BL2" s="85"/>
      <x:c r="BM2" s="83"/>
      <x:c r="BN2" s="83"/>
    </x:row>
    <x:row r="3" ht="18" customHeight="1">
      <x:c r="A3" s="83"/>
      <x:c r="B3" s="83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  <x:c r="AA3" s="85"/>
      <x:c r="AB3" s="85"/>
      <x:c r="AC3" s="85"/>
      <x:c r="AD3" s="85"/>
      <x:c r="AE3" s="85"/>
      <x:c r="AF3" s="85"/>
      <x:c r="AG3" s="85"/>
      <x:c r="AH3" s="85"/>
      <x:c r="AI3" s="85"/>
      <x:c r="AJ3" s="85"/>
      <x:c r="AK3" s="85"/>
      <x:c r="AL3" s="85"/>
      <x:c r="AM3" s="85"/>
      <x:c r="AN3" s="85"/>
      <x:c r="AO3" s="85"/>
      <x:c r="AP3" s="85"/>
      <x:c r="AQ3" s="85"/>
      <x:c r="AR3" s="85"/>
      <x:c r="AS3" s="85"/>
      <x:c r="AT3" s="85"/>
      <x:c r="AU3" s="85"/>
      <x:c r="AV3" s="85"/>
      <x:c r="AW3" s="85"/>
      <x:c r="AX3" s="85"/>
      <x:c r="AY3" s="85"/>
      <x:c r="AZ3" s="85"/>
      <x:c r="BA3" s="85"/>
      <x:c r="BB3" s="85"/>
      <x:c r="BC3" s="85"/>
      <x:c r="BD3" s="85"/>
      <x:c r="BE3" s="85"/>
      <x:c r="BF3" s="85"/>
      <x:c r="BG3" s="85"/>
      <x:c r="BH3" s="85"/>
      <x:c r="BI3" s="85"/>
      <x:c r="BJ3" s="85"/>
      <x:c r="BK3" s="85"/>
      <x:c r="BL3" s="85"/>
      <x:c r="BM3" s="83"/>
      <x:c r="BN3" s="83"/>
    </x:row>
    <x:row r="4" ht="18" customHeight="1">
      <x:c r="A4" s="83"/>
      <x:c r="B4" s="83"/>
      <x:c r="C4" s="87" t="str">
        <x:v>Global AI-biology scenarios | One funding pool | Formula-linked live dashboard</x:v>
      </x:c>
      <x:c r="D4" s="87"/>
      <x:c r="E4" s="87"/>
      <x:c r="F4" s="87"/>
      <x:c r="G4" s="87"/>
      <x:c r="H4" s="87"/>
      <x:c r="I4" s="87"/>
      <x:c r="J4" s="87"/>
      <x:c r="K4" s="87"/>
      <x:c r="L4" s="87"/>
      <x:c r="M4" s="87"/>
      <x:c r="N4" s="87"/>
      <x:c r="O4" s="87"/>
      <x:c r="P4" s="87"/>
      <x:c r="Q4" s="87"/>
      <x:c r="R4" s="87"/>
      <x:c r="S4" s="87"/>
      <x:c r="T4" s="87"/>
      <x:c r="U4" s="87"/>
      <x:c r="V4" s="87"/>
      <x:c r="W4" s="87"/>
      <x:c r="X4" s="87"/>
      <x:c r="Y4" s="87"/>
      <x:c r="Z4" s="87"/>
      <x:c r="AA4" s="87"/>
      <x:c r="AB4" s="87"/>
      <x:c r="AC4" s="87"/>
      <x:c r="AD4" s="87"/>
      <x:c r="AE4" s="87"/>
      <x:c r="AF4" s="87"/>
      <x:c r="AG4" s="87"/>
      <x:c r="AH4" s="87"/>
      <x:c r="AI4" s="87"/>
      <x:c r="AJ4" s="87"/>
      <x:c r="AK4" s="87"/>
      <x:c r="AL4" s="87"/>
      <x:c r="AM4" s="87"/>
      <x:c r="AN4" s="87"/>
      <x:c r="AO4" s="87"/>
      <x:c r="AP4" s="87"/>
      <x:c r="AQ4" s="87"/>
      <x:c r="AR4" s="87"/>
      <x:c r="AS4" s="87"/>
      <x:c r="AT4" s="87"/>
      <x:c r="AU4" s="87"/>
      <x:c r="AV4" s="87"/>
      <x:c r="AW4" s="87"/>
      <x:c r="AX4" s="87"/>
      <x:c r="AY4" s="87"/>
      <x:c r="AZ4" s="87"/>
      <x:c r="BA4" s="87"/>
      <x:c r="BB4" s="87"/>
      <x:c r="BC4" s="87"/>
      <x:c r="BD4" s="87"/>
      <x:c r="BE4" s="87"/>
      <x:c r="BF4" s="87"/>
      <x:c r="BG4" s="87"/>
      <x:c r="BH4" s="87"/>
      <x:c r="BI4" s="87"/>
      <x:c r="BJ4" s="87"/>
      <x:c r="BK4" s="87"/>
      <x:c r="BL4" s="87"/>
      <x:c r="BM4" s="83"/>
      <x:c r="BN4" s="83"/>
    </x:row>
    <x:row r="5" ht="18" customHeight="1">
      <x:c r="A5" s="83"/>
      <x:c r="B5" s="83"/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7"/>
      <x:c r="P5" s="87"/>
      <x:c r="Q5" s="87"/>
      <x:c r="R5" s="87"/>
      <x:c r="S5" s="87"/>
      <x:c r="T5" s="87"/>
      <x:c r="U5" s="87"/>
      <x:c r="V5" s="87"/>
      <x:c r="W5" s="87"/>
      <x:c r="X5" s="87"/>
      <x:c r="Y5" s="87"/>
      <x:c r="Z5" s="87"/>
      <x:c r="AA5" s="87"/>
      <x:c r="AB5" s="87"/>
      <x:c r="AC5" s="87"/>
      <x:c r="AD5" s="87"/>
      <x:c r="AE5" s="87"/>
      <x:c r="AF5" s="87"/>
      <x:c r="AG5" s="87"/>
      <x:c r="AH5" s="87"/>
      <x:c r="AI5" s="87"/>
      <x:c r="AJ5" s="87"/>
      <x:c r="AK5" s="87"/>
      <x:c r="AL5" s="87"/>
      <x:c r="AM5" s="87"/>
      <x:c r="AN5" s="87"/>
      <x:c r="AO5" s="87"/>
      <x:c r="AP5" s="87"/>
      <x:c r="AQ5" s="87"/>
      <x:c r="AR5" s="87"/>
      <x:c r="AS5" s="87"/>
      <x:c r="AT5" s="87"/>
      <x:c r="AU5" s="87"/>
      <x:c r="AV5" s="87"/>
      <x:c r="AW5" s="87"/>
      <x:c r="AX5" s="87"/>
      <x:c r="AY5" s="87"/>
      <x:c r="AZ5" s="87"/>
      <x:c r="BA5" s="87"/>
      <x:c r="BB5" s="87"/>
      <x:c r="BC5" s="87"/>
      <x:c r="BD5" s="87"/>
      <x:c r="BE5" s="87"/>
      <x:c r="BF5" s="87"/>
      <x:c r="BG5" s="87"/>
      <x:c r="BH5" s="87"/>
      <x:c r="BI5" s="87"/>
      <x:c r="BJ5" s="87"/>
      <x:c r="BK5" s="87"/>
      <x:c r="BL5" s="87"/>
      <x:c r="BM5" s="83"/>
      <x:c r="BN5" s="83"/>
    </x:row>
    <x:row r="6" ht="18" customHeight="1">
      <x:c r="A6" s="83"/>
      <x:c r="B6" s="83"/>
      <x:c r="C6" s="83"/>
      <x:c r="D6" s="83"/>
      <x:c r="E6" s="83"/>
      <x:c r="F6" s="83"/>
      <x:c r="G6" s="83"/>
      <x:c r="H6" s="83"/>
      <x:c r="I6" s="83"/>
      <x:c r="J6" s="83"/>
      <x:c r="K6" s="83"/>
      <x:c r="L6" s="83"/>
      <x:c r="M6" s="83"/>
      <x:c r="N6" s="83"/>
      <x:c r="O6" s="83"/>
      <x:c r="P6" s="83"/>
      <x:c r="Q6" s="83"/>
      <x:c r="R6" s="83"/>
      <x:c r="S6" s="83"/>
      <x:c r="T6" s="83"/>
      <x:c r="U6" s="83"/>
      <x:c r="V6" s="83"/>
      <x:c r="W6" s="83"/>
      <x:c r="X6" s="83"/>
      <x:c r="Y6" s="83"/>
      <x:c r="Z6" s="83"/>
      <x:c r="AA6" s="83"/>
      <x:c r="AB6" s="83"/>
      <x:c r="AC6" s="83"/>
      <x:c r="AD6" s="83"/>
      <x:c r="AE6" s="83"/>
      <x:c r="AF6" s="83"/>
      <x:c r="AG6" s="83"/>
      <x:c r="AH6" s="83"/>
      <x:c r="AI6" s="83"/>
      <x:c r="AJ6" s="83"/>
      <x:c r="AK6" s="83"/>
      <x:c r="AL6" s="83"/>
      <x:c r="AM6" s="83"/>
      <x:c r="AN6" s="83"/>
      <x:c r="AO6" s="83"/>
      <x:c r="AP6" s="83"/>
      <x:c r="AQ6" s="83"/>
      <x:c r="AR6" s="83"/>
      <x:c r="AS6" s="83"/>
      <x:c r="AT6" s="83"/>
      <x:c r="AU6" s="83"/>
      <x:c r="AV6" s="83"/>
      <x:c r="AW6" s="83"/>
      <x:c r="AX6" s="83"/>
      <x:c r="AY6" s="83"/>
      <x:c r="AZ6" s="83"/>
      <x:c r="BA6" s="83"/>
      <x:c r="BB6" s="83"/>
      <x:c r="BC6" s="83"/>
      <x:c r="BD6" s="83"/>
      <x:c r="BE6" s="83"/>
      <x:c r="BF6" s="83"/>
      <x:c r="BG6" s="83"/>
      <x:c r="BH6" s="83"/>
      <x:c r="BI6" s="83"/>
      <x:c r="BJ6" s="83"/>
      <x:c r="BK6" s="83"/>
      <x:c r="BL6" s="83"/>
      <x:c r="BM6" s="83"/>
      <x:c r="BN6" s="83"/>
    </x:row>
    <x:row r="7" ht="18" customHeight="1">
      <x:c r="A7" s="83"/>
      <x:c r="B7" s="83"/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  <x:c r="X7" s="88"/>
      <x:c r="Y7" s="88"/>
      <x:c r="Z7" s="88"/>
      <x:c r="AA7" s="88"/>
      <x:c r="AB7" s="88"/>
      <x:c r="AC7" s="88"/>
      <x:c r="AD7" s="88"/>
      <x:c r="AE7" s="88"/>
      <x:c r="AF7" s="88"/>
      <x:c r="AG7" s="83"/>
      <x:c r="AH7" s="88"/>
      <x:c r="AI7" s="88"/>
      <x:c r="AJ7" s="88"/>
      <x:c r="AK7" s="88"/>
      <x:c r="AL7" s="88"/>
      <x:c r="AM7" s="88"/>
      <x:c r="AN7" s="88"/>
      <x:c r="AO7" s="88"/>
      <x:c r="AP7" s="88"/>
      <x:c r="AQ7" s="88"/>
      <x:c r="AR7" s="88"/>
      <x:c r="AS7" s="88"/>
      <x:c r="AT7" s="88"/>
      <x:c r="AU7" s="88"/>
      <x:c r="AV7" s="88"/>
      <x:c r="AW7" s="88"/>
      <x:c r="AX7" s="88"/>
      <x:c r="AY7" s="88"/>
      <x:c r="AZ7" s="88"/>
      <x:c r="BA7" s="88"/>
      <x:c r="BB7" s="88"/>
      <x:c r="BC7" s="88"/>
      <x:c r="BD7" s="88"/>
      <x:c r="BE7" s="88"/>
      <x:c r="BF7" s="88"/>
      <x:c r="BG7" s="88"/>
      <x:c r="BH7" s="88"/>
      <x:c r="BI7" s="88"/>
      <x:c r="BJ7" s="88"/>
      <x:c r="BK7" s="88"/>
      <x:c r="BL7" s="88"/>
      <x:c r="BM7" s="83"/>
      <x:c r="BN7" s="83"/>
    </x:row>
    <x:row r="8" ht="18" customHeight="1">
      <x:c r="A8" s="83"/>
      <x:c r="B8" s="83"/>
      <x:c r="C8" s="88"/>
      <x:c r="D8" s="90" t="str">
        <x:v>Total new program funding</x:v>
      </x:c>
      <x:c r="E8" s="90"/>
      <x:c r="F8" s="90"/>
      <x:c r="G8" s="90"/>
      <x:c r="H8" s="90"/>
      <x:c r="I8" s="90"/>
      <x:c r="J8" s="90"/>
      <x:c r="K8" s="90"/>
      <x:c r="L8" s="90"/>
      <x:c r="M8" s="90"/>
      <x:c r="N8" s="90"/>
      <x:c r="O8" s="90"/>
      <x:c r="P8" s="90"/>
      <x:c r="Q8" s="90"/>
      <x:c r="R8" s="90"/>
      <x:c r="S8" s="90"/>
      <x:c r="T8" s="90"/>
      <x:c r="U8" s="90"/>
      <x:c r="V8" s="90"/>
      <x:c r="W8" s="90"/>
      <x:c r="X8" s="90"/>
      <x:c r="Y8" s="90"/>
      <x:c r="Z8" s="90"/>
      <x:c r="AA8" s="90"/>
      <x:c r="AB8" s="90"/>
      <x:c r="AC8" s="88"/>
      <x:c r="AD8" s="88"/>
      <x:c r="AE8" s="88"/>
      <x:c r="AF8" s="88"/>
      <x:c r="AG8" s="83"/>
      <x:c r="AH8" s="88"/>
      <x:c r="AI8" s="88"/>
      <x:c r="AJ8" s="102" t="str">
        <x:v>ANNUAL FLOWS · US$BN / YEAR</x:v>
      </x:c>
      <x:c r="AK8" s="102"/>
      <x:c r="AL8" s="102"/>
      <x:c r="AM8" s="102"/>
      <x:c r="AN8" s="102"/>
      <x:c r="AO8" s="102"/>
      <x:c r="AP8" s="102"/>
      <x:c r="AQ8" s="102"/>
      <x:c r="AR8" s="102"/>
      <x:c r="AS8" s="102"/>
      <x:c r="AT8" s="102"/>
      <x:c r="AU8" s="102"/>
      <x:c r="AV8" s="102"/>
      <x:c r="AW8" s="102"/>
      <x:c r="AX8" s="102"/>
      <x:c r="AY8" s="102"/>
      <x:c r="AZ8" s="102"/>
      <x:c r="BA8" s="102"/>
      <x:c r="BB8" s="102"/>
      <x:c r="BC8" s="102"/>
      <x:c r="BD8" s="102"/>
      <x:c r="BE8" s="102"/>
      <x:c r="BF8" s="102"/>
      <x:c r="BG8" s="102"/>
      <x:c r="BH8" s="102"/>
      <x:c r="BI8" s="102"/>
      <x:c r="BJ8" s="102"/>
      <x:c r="BK8" s="88"/>
      <x:c r="BL8" s="88"/>
      <x:c r="BM8" s="83"/>
      <x:c r="BN8" s="83"/>
    </x:row>
    <x:row r="9" ht="18" customHeight="1">
      <x:c r="A9" s="83"/>
      <x:c r="B9" s="83"/>
      <x:c r="C9" s="88"/>
      <x:c r="D9" s="90"/>
      <x:c r="E9" s="90"/>
      <x:c r="F9" s="90"/>
      <x:c r="G9" s="90"/>
      <x:c r="H9" s="90"/>
      <x:c r="I9" s="90"/>
      <x:c r="J9" s="90"/>
      <x:c r="K9" s="90"/>
      <x:c r="L9" s="90"/>
      <x:c r="M9" s="90"/>
      <x:c r="N9" s="90"/>
      <x:c r="O9" s="90"/>
      <x:c r="P9" s="90"/>
      <x:c r="Q9" s="90"/>
      <x:c r="R9" s="90"/>
      <x:c r="S9" s="90"/>
      <x:c r="T9" s="90"/>
      <x:c r="U9" s="90"/>
      <x:c r="V9" s="90"/>
      <x:c r="W9" s="90"/>
      <x:c r="X9" s="90"/>
      <x:c r="Y9" s="90"/>
      <x:c r="Z9" s="90"/>
      <x:c r="AA9" s="90"/>
      <x:c r="AB9" s="90"/>
      <x:c r="AC9" s="95" t="n">
        <x:v>50</x:v>
      </x:c>
      <x:c r="AD9" s="95"/>
      <x:c r="AE9" s="95"/>
      <x:c r="AF9" s="88"/>
      <x:c r="AG9" s="83"/>
      <x:c r="AH9" s="88"/>
      <x:c r="AI9" s="88"/>
      <x:c r="AJ9" s="88"/>
      <x:c r="AK9" s="88"/>
      <x:c r="AL9" s="88"/>
      <x:c r="AM9" s="88"/>
      <x:c r="AN9" s="88"/>
      <x:c r="AO9" s="88"/>
      <x:c r="AP9" s="88"/>
      <x:c r="AQ9" s="88"/>
      <x:c r="AR9" s="88"/>
      <x:c r="AS9" s="88"/>
      <x:c r="AT9" s="88"/>
      <x:c r="AU9" s="88"/>
      <x:c r="AV9" s="88"/>
      <x:c r="AW9" s="88"/>
      <x:c r="AX9" s="88"/>
      <x:c r="AY9" s="88"/>
      <x:c r="AZ9" s="88"/>
      <x:c r="BA9" s="88"/>
      <x:c r="BB9" s="88"/>
      <x:c r="BC9" s="88"/>
      <x:c r="BD9" s="88"/>
      <x:c r="BE9" s="88"/>
      <x:c r="BF9" s="88"/>
      <x:c r="BG9" s="88"/>
      <x:c r="BH9" s="88"/>
      <x:c r="BI9" s="88"/>
      <x:c r="BJ9" s="88"/>
      <x:c r="BK9" s="88"/>
      <x:c r="BL9" s="88"/>
      <x:c r="BM9" s="83"/>
      <x:c r="BN9" s="83"/>
    </x:row>
    <x:row r="10" ht="18" customHeight="1">
      <x:c r="A10" s="83"/>
      <x:c r="B10" s="83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  <x:c r="X10" s="88"/>
      <x:c r="Y10" s="88"/>
      <x:c r="Z10" s="88"/>
      <x:c r="AA10" s="88"/>
      <x:c r="AB10" s="88"/>
      <x:c r="AC10" s="95"/>
      <x:c r="AD10" s="95"/>
      <x:c r="AE10" s="95"/>
      <x:c r="AF10" s="88"/>
      <x:c r="AG10" s="83"/>
      <x:c r="AH10" s="88"/>
      <x:c r="AI10" s="88"/>
      <x:c r="AJ10" s="90" t="str">
        <x:v>Annual program funding</x:v>
      </x:c>
      <x:c r="AK10" s="90"/>
      <x:c r="AL10" s="90"/>
      <x:c r="AM10" s="90"/>
      <x:c r="AN10" s="90"/>
      <x:c r="AO10" s="90"/>
      <x:c r="AP10" s="90"/>
      <x:c r="AQ10" s="90"/>
      <x:c r="AR10" s="90"/>
      <x:c r="AS10" s="90"/>
      <x:c r="AT10" s="90"/>
      <x:c r="AU10" s="90"/>
      <x:c r="AV10" s="90"/>
      <x:c r="AW10" s="90"/>
      <x:c r="AX10" s="90"/>
      <x:c r="AY10" s="90"/>
      <x:c r="AZ10" s="90"/>
      <x:c r="BA10" s="90"/>
      <x:c r="BB10" s="90"/>
      <x:c r="BC10" s="88"/>
      <x:c r="BD10" s="106" t="n">
        <x:f>'Calculations'!D10</x:f>
        <x:v>10</x:v>
      </x:c>
      <x:c r="BE10" s="106"/>
      <x:c r="BF10" s="106"/>
      <x:c r="BG10" s="106"/>
      <x:c r="BH10" s="106"/>
      <x:c r="BI10" s="106"/>
      <x:c r="BJ10" s="106"/>
      <x:c r="BK10" s="88"/>
      <x:c r="BL10" s="88"/>
      <x:c r="BM10" s="83"/>
      <x:c r="BN10" s="83"/>
    </x:row>
    <x:row r="11" ht="18" customHeight="1">
      <x:c r="A11" s="83"/>
      <x:c r="B11" s="83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  <x:c r="X11" s="88"/>
      <x:c r="Y11" s="88"/>
      <x:c r="Z11" s="88"/>
      <x:c r="AA11" s="88"/>
      <x:c r="AB11" s="88"/>
      <x:c r="AC11" s="88"/>
      <x:c r="AD11" s="88"/>
      <x:c r="AE11" s="88"/>
      <x:c r="AF11" s="88"/>
      <x:c r="AG11" s="83"/>
      <x:c r="AH11" s="88"/>
      <x:c r="AI11" s="88"/>
      <x:c r="AJ11" s="90"/>
      <x:c r="AK11" s="90"/>
      <x:c r="AL11" s="90"/>
      <x:c r="AM11" s="90"/>
      <x:c r="AN11" s="90"/>
      <x:c r="AO11" s="90"/>
      <x:c r="AP11" s="90"/>
      <x:c r="AQ11" s="90"/>
      <x:c r="AR11" s="90"/>
      <x:c r="AS11" s="90"/>
      <x:c r="AT11" s="90"/>
      <x:c r="AU11" s="90"/>
      <x:c r="AV11" s="90"/>
      <x:c r="AW11" s="90"/>
      <x:c r="AX11" s="90"/>
      <x:c r="AY11" s="90"/>
      <x:c r="AZ11" s="90"/>
      <x:c r="BA11" s="90"/>
      <x:c r="BB11" s="90"/>
      <x:c r="BC11" s="88"/>
      <x:c r="BD11" s="106"/>
      <x:c r="BE11" s="106"/>
      <x:c r="BF11" s="106"/>
      <x:c r="BG11" s="106"/>
      <x:c r="BH11" s="106"/>
      <x:c r="BI11" s="106"/>
      <x:c r="BJ11" s="106"/>
      <x:c r="BK11" s="88"/>
      <x:c r="BL11" s="88"/>
      <x:c r="BM11" s="83"/>
      <x:c r="BN11" s="83"/>
    </x:row>
    <x:row r="12" ht="18" customHeight="1">
      <x:c r="A12" s="83"/>
      <x:c r="B12" s="83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  <x:c r="X12" s="88"/>
      <x:c r="Y12" s="88"/>
      <x:c r="Z12" s="88"/>
      <x:c r="AA12" s="88"/>
      <x:c r="AB12" s="88"/>
      <x:c r="AC12" s="88"/>
      <x:c r="AD12" s="88"/>
      <x:c r="AE12" s="88"/>
      <x:c r="AF12" s="88"/>
      <x:c r="AG12" s="83"/>
      <x:c r="AH12" s="88"/>
      <x:c r="AI12" s="88"/>
      <x:c r="AJ12" s="97" t="str">
        <x:v>Total funding / deployment years</x:v>
      </x:c>
      <x:c r="AK12" s="97"/>
      <x:c r="AL12" s="97"/>
      <x:c r="AM12" s="97"/>
      <x:c r="AN12" s="97"/>
      <x:c r="AO12" s="97"/>
      <x:c r="AP12" s="97"/>
      <x:c r="AQ12" s="97"/>
      <x:c r="AR12" s="97"/>
      <x:c r="AS12" s="97"/>
      <x:c r="AT12" s="97"/>
      <x:c r="AU12" s="97"/>
      <x:c r="AV12" s="97"/>
      <x:c r="AW12" s="97"/>
      <x:c r="AX12" s="97"/>
      <x:c r="AY12" s="97"/>
      <x:c r="AZ12" s="97"/>
      <x:c r="BA12" s="97"/>
      <x:c r="BB12" s="97"/>
      <x:c r="BC12" s="97"/>
      <x:c r="BD12" s="97"/>
      <x:c r="BE12" s="97"/>
      <x:c r="BF12" s="97"/>
      <x:c r="BG12" s="97"/>
      <x:c r="BH12" s="97"/>
      <x:c r="BI12" s="97"/>
      <x:c r="BJ12" s="97"/>
      <x:c r="BK12" s="88"/>
      <x:c r="BL12" s="88"/>
      <x:c r="BM12" s="83"/>
      <x:c r="BN12" s="83"/>
    </x:row>
    <x:row r="13" ht="18" customHeight="1">
      <x:c r="A13" s="83"/>
      <x:c r="B13" s="83"/>
      <x:c r="C13" s="88"/>
      <x:c r="D13" s="97" t="str">
        <x:v>US$bn | 0 = counterfactual | 10–200 = exploration range</x:v>
      </x:c>
      <x:c r="E13" s="97"/>
      <x:c r="F13" s="97"/>
      <x:c r="G13" s="97"/>
      <x:c r="H13" s="97"/>
      <x:c r="I13" s="97"/>
      <x:c r="J13" s="97"/>
      <x:c r="K13" s="97"/>
      <x:c r="L13" s="97"/>
      <x:c r="M13" s="97"/>
      <x:c r="N13" s="97"/>
      <x:c r="O13" s="97"/>
      <x:c r="P13" s="97"/>
      <x:c r="Q13" s="97"/>
      <x:c r="R13" s="97"/>
      <x:c r="S13" s="97"/>
      <x:c r="T13" s="97"/>
      <x:c r="U13" s="97"/>
      <x:c r="V13" s="97"/>
      <x:c r="W13" s="97"/>
      <x:c r="X13" s="97"/>
      <x:c r="Y13" s="97"/>
      <x:c r="Z13" s="97"/>
      <x:c r="AA13" s="97"/>
      <x:c r="AB13" s="97"/>
      <x:c r="AC13" s="97"/>
      <x:c r="AD13" s="97"/>
      <x:c r="AE13" s="97"/>
      <x:c r="AF13" s="88"/>
      <x:c r="AG13" s="83"/>
      <x:c r="AH13" s="88"/>
      <x:c r="AI13" s="88"/>
      <x:c r="AJ13" s="107"/>
      <x:c r="AK13" s="107"/>
      <x:c r="AL13" s="107"/>
      <x:c r="AM13" s="107"/>
      <x:c r="AN13" s="107"/>
      <x:c r="AO13" s="107"/>
      <x:c r="AP13" s="107"/>
      <x:c r="AQ13" s="107"/>
      <x:c r="AR13" s="107"/>
      <x:c r="AS13" s="107"/>
      <x:c r="AT13" s="107"/>
      <x:c r="AU13" s="107"/>
      <x:c r="AV13" s="107"/>
      <x:c r="AW13" s="107"/>
      <x:c r="AX13" s="107"/>
      <x:c r="AY13" s="107"/>
      <x:c r="AZ13" s="107"/>
      <x:c r="BA13" s="107"/>
      <x:c r="BB13" s="107"/>
      <x:c r="BC13" s="107"/>
      <x:c r="BD13" s="107"/>
      <x:c r="BE13" s="107"/>
      <x:c r="BF13" s="107"/>
      <x:c r="BG13" s="107"/>
      <x:c r="BH13" s="107"/>
      <x:c r="BI13" s="107"/>
      <x:c r="BJ13" s="107"/>
      <x:c r="BK13" s="88"/>
      <x:c r="BL13" s="88"/>
      <x:c r="BM13" s="83"/>
      <x:c r="BN13" s="83"/>
    </x:row>
    <x:row r="14" ht="18" customHeight="1">
      <x:c r="A14" s="83"/>
      <x:c r="B14" s="83"/>
      <x:c r="C14" s="88"/>
      <x:c r="D14" s="90" t="str">
        <x:v>Deployment period</x:v>
      </x:c>
      <x:c r="E14" s="90"/>
      <x:c r="F14" s="90"/>
      <x:c r="G14" s="90"/>
      <x:c r="H14" s="90"/>
      <x:c r="I14" s="90"/>
      <x:c r="J14" s="90"/>
      <x:c r="K14" s="90"/>
      <x:c r="L14" s="90"/>
      <x:c r="M14" s="90"/>
      <x:c r="N14" s="90"/>
      <x:c r="O14" s="90"/>
      <x:c r="P14" s="90"/>
      <x:c r="Q14" s="90"/>
      <x:c r="R14" s="90"/>
      <x:c r="S14" s="90"/>
      <x:c r="T14" s="90"/>
      <x:c r="U14" s="90"/>
      <x:c r="V14" s="90"/>
      <x:c r="W14" s="90"/>
      <x:c r="X14" s="90"/>
      <x:c r="Y14" s="90"/>
      <x:c r="Z14" s="90"/>
      <x:c r="AA14" s="90"/>
      <x:c r="AB14" s="90"/>
      <x:c r="AC14" s="88"/>
      <x:c r="AD14" s="88"/>
      <x:c r="AE14" s="88"/>
      <x:c r="AF14" s="88"/>
      <x:c r="AG14" s="83"/>
      <x:c r="AH14" s="88"/>
      <x:c r="AI14" s="88"/>
      <x:c r="AJ14" s="90" t="str">
        <x:v>Wet-lab funding</x:v>
      </x:c>
      <x:c r="AK14" s="90"/>
      <x:c r="AL14" s="90"/>
      <x:c r="AM14" s="90"/>
      <x:c r="AN14" s="90"/>
      <x:c r="AO14" s="90"/>
      <x:c r="AP14" s="90"/>
      <x:c r="AQ14" s="90"/>
      <x:c r="AR14" s="90"/>
      <x:c r="AS14" s="90"/>
      <x:c r="AT14" s="90"/>
      <x:c r="AU14" s="90"/>
      <x:c r="AV14" s="90"/>
      <x:c r="AW14" s="90"/>
      <x:c r="AX14" s="90"/>
      <x:c r="AY14" s="90"/>
      <x:c r="AZ14" s="90"/>
      <x:c r="BA14" s="90"/>
      <x:c r="BB14" s="90"/>
      <x:c r="BC14" s="88"/>
      <x:c r="BD14" s="106" t="n">
        <x:f>'Calculations'!D14</x:f>
        <x:v>3.5</x:v>
      </x:c>
      <x:c r="BE14" s="106"/>
      <x:c r="BF14" s="106"/>
      <x:c r="BG14" s="106"/>
      <x:c r="BH14" s="106"/>
      <x:c r="BI14" s="106"/>
      <x:c r="BJ14" s="106"/>
      <x:c r="BK14" s="88"/>
      <x:c r="BL14" s="88"/>
      <x:c r="BM14" s="83"/>
      <x:c r="BN14" s="83"/>
    </x:row>
    <x:row r="15" ht="18" customHeight="1">
      <x:c r="A15" s="83"/>
      <x:c r="B15" s="83"/>
      <x:c r="C15" s="88"/>
      <x:c r="D15" s="90"/>
      <x:c r="E15" s="90"/>
      <x:c r="F15" s="90"/>
      <x:c r="G15" s="90"/>
      <x:c r="H15" s="90"/>
      <x:c r="I15" s="90"/>
      <x:c r="J15" s="90"/>
      <x:c r="K15" s="90"/>
      <x:c r="L15" s="90"/>
      <x:c r="M15" s="90"/>
      <x:c r="N15" s="90"/>
      <x:c r="O15" s="90"/>
      <x:c r="P15" s="90"/>
      <x:c r="Q15" s="90"/>
      <x:c r="R15" s="90"/>
      <x:c r="S15" s="90"/>
      <x:c r="T15" s="90"/>
      <x:c r="U15" s="90"/>
      <x:c r="V15" s="90"/>
      <x:c r="W15" s="90"/>
      <x:c r="X15" s="90"/>
      <x:c r="Y15" s="90"/>
      <x:c r="Z15" s="90"/>
      <x:c r="AA15" s="90"/>
      <x:c r="AB15" s="90"/>
      <x:c r="AC15" s="95" t="n">
        <x:v>5</x:v>
      </x:c>
      <x:c r="AD15" s="95"/>
      <x:c r="AE15" s="95"/>
      <x:c r="AF15" s="88"/>
      <x:c r="AG15" s="83"/>
      <x:c r="AH15" s="88"/>
      <x:c r="AI15" s="88"/>
      <x:c r="AJ15" s="90"/>
      <x:c r="AK15" s="90"/>
      <x:c r="AL15" s="90"/>
      <x:c r="AM15" s="90"/>
      <x:c r="AN15" s="90"/>
      <x:c r="AO15" s="90"/>
      <x:c r="AP15" s="90"/>
      <x:c r="AQ15" s="90"/>
      <x:c r="AR15" s="90"/>
      <x:c r="AS15" s="90"/>
      <x:c r="AT15" s="90"/>
      <x:c r="AU15" s="90"/>
      <x:c r="AV15" s="90"/>
      <x:c r="AW15" s="90"/>
      <x:c r="AX15" s="90"/>
      <x:c r="AY15" s="90"/>
      <x:c r="AZ15" s="90"/>
      <x:c r="BA15" s="90"/>
      <x:c r="BB15" s="90"/>
      <x:c r="BC15" s="88"/>
      <x:c r="BD15" s="106"/>
      <x:c r="BE15" s="106"/>
      <x:c r="BF15" s="106"/>
      <x:c r="BG15" s="106"/>
      <x:c r="BH15" s="106"/>
      <x:c r="BI15" s="106"/>
      <x:c r="BJ15" s="106"/>
      <x:c r="BK15" s="88"/>
      <x:c r="BL15" s="88"/>
      <x:c r="BM15" s="83"/>
      <x:c r="BN15" s="83"/>
    </x:row>
    <x:row r="16" ht="18" customHeight="1">
      <x:c r="A16" s="83"/>
      <x:c r="B16" s="83"/>
      <x:c r="C16" s="88"/>
      <x:c r="D16" s="88"/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  <x:c r="X16" s="88"/>
      <x:c r="Y16" s="88"/>
      <x:c r="Z16" s="88"/>
      <x:c r="AA16" s="88"/>
      <x:c r="AB16" s="88"/>
      <x:c r="AC16" s="95"/>
      <x:c r="AD16" s="95"/>
      <x:c r="AE16" s="95"/>
      <x:c r="AF16" s="88"/>
      <x:c r="AG16" s="83"/>
      <x:c r="AH16" s="88"/>
      <x:c r="AI16" s="88"/>
      <x:c r="AJ16" s="97" t="str">
        <x:v>Annual funding × wet-lab share</x:v>
      </x:c>
      <x:c r="AK16" s="97"/>
      <x:c r="AL16" s="97"/>
      <x:c r="AM16" s="97"/>
      <x:c r="AN16" s="97"/>
      <x:c r="AO16" s="97"/>
      <x:c r="AP16" s="97"/>
      <x:c r="AQ16" s="97"/>
      <x:c r="AR16" s="97"/>
      <x:c r="AS16" s="97"/>
      <x:c r="AT16" s="97"/>
      <x:c r="AU16" s="97"/>
      <x:c r="AV16" s="97"/>
      <x:c r="AW16" s="97"/>
      <x:c r="AX16" s="97"/>
      <x:c r="AY16" s="97"/>
      <x:c r="AZ16" s="97"/>
      <x:c r="BA16" s="97"/>
      <x:c r="BB16" s="97"/>
      <x:c r="BC16" s="97"/>
      <x:c r="BD16" s="97"/>
      <x:c r="BE16" s="97"/>
      <x:c r="BF16" s="97"/>
      <x:c r="BG16" s="97"/>
      <x:c r="BH16" s="97"/>
      <x:c r="BI16" s="97"/>
      <x:c r="BJ16" s="97"/>
      <x:c r="BK16" s="88"/>
      <x:c r="BL16" s="88"/>
      <x:c r="BM16" s="83"/>
      <x:c r="BN16" s="83"/>
    </x:row>
    <x:row r="17" ht="18" customHeight="1">
      <x:c r="A17" s="83"/>
      <x:c r="B17" s="83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  <x:c r="X17" s="88"/>
      <x:c r="Y17" s="88"/>
      <x:c r="Z17" s="88"/>
      <x:c r="AA17" s="88"/>
      <x:c r="AB17" s="88"/>
      <x:c r="AC17" s="88"/>
      <x:c r="AD17" s="88"/>
      <x:c r="AE17" s="88"/>
      <x:c r="AF17" s="88"/>
      <x:c r="AG17" s="83"/>
      <x:c r="AH17" s="88"/>
      <x:c r="AI17" s="88"/>
      <x:c r="AJ17" s="107"/>
      <x:c r="AK17" s="107"/>
      <x:c r="AL17" s="107"/>
      <x:c r="AM17" s="107"/>
      <x:c r="AN17" s="107"/>
      <x:c r="AO17" s="107"/>
      <x:c r="AP17" s="107"/>
      <x:c r="AQ17" s="107"/>
      <x:c r="AR17" s="107"/>
      <x:c r="AS17" s="107"/>
      <x:c r="AT17" s="107"/>
      <x:c r="AU17" s="107"/>
      <x:c r="AV17" s="107"/>
      <x:c r="AW17" s="107"/>
      <x:c r="AX17" s="107"/>
      <x:c r="AY17" s="107"/>
      <x:c r="AZ17" s="107"/>
      <x:c r="BA17" s="107"/>
      <x:c r="BB17" s="107"/>
      <x:c r="BC17" s="107"/>
      <x:c r="BD17" s="107"/>
      <x:c r="BE17" s="107"/>
      <x:c r="BF17" s="107"/>
      <x:c r="BG17" s="107"/>
      <x:c r="BH17" s="107"/>
      <x:c r="BI17" s="107"/>
      <x:c r="BJ17" s="107"/>
      <x:c r="BK17" s="88"/>
      <x:c r="BL17" s="88"/>
      <x:c r="BM17" s="83"/>
      <x:c r="BN17" s="83"/>
    </x:row>
    <x:row r="18" ht="18" customHeight="1">
      <x:c r="A18" s="83"/>
      <x:c r="B18" s="83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  <x:c r="X18" s="88"/>
      <x:c r="Y18" s="88"/>
      <x:c r="Z18" s="88"/>
      <x:c r="AA18" s="88"/>
      <x:c r="AB18" s="88"/>
      <x:c r="AC18" s="88"/>
      <x:c r="AD18" s="88"/>
      <x:c r="AE18" s="88"/>
      <x:c r="AF18" s="88"/>
      <x:c r="AG18" s="83"/>
      <x:c r="AH18" s="88"/>
      <x:c r="AI18" s="88"/>
      <x:c r="AJ18" s="90" t="str">
        <x:v>Productive equipment</x:v>
      </x:c>
      <x:c r="AK18" s="90"/>
      <x:c r="AL18" s="90"/>
      <x:c r="AM18" s="90"/>
      <x:c r="AN18" s="90"/>
      <x:c r="AO18" s="90"/>
      <x:c r="AP18" s="90"/>
      <x:c r="AQ18" s="90"/>
      <x:c r="AR18" s="90"/>
      <x:c r="AS18" s="90"/>
      <x:c r="AT18" s="90"/>
      <x:c r="AU18" s="90"/>
      <x:c r="AV18" s="90"/>
      <x:c r="AW18" s="90"/>
      <x:c r="AX18" s="90"/>
      <x:c r="AY18" s="90"/>
      <x:c r="AZ18" s="90"/>
      <x:c r="BA18" s="90"/>
      <x:c r="BB18" s="90"/>
      <x:c r="BC18" s="88"/>
      <x:c r="BD18" s="106" t="n">
        <x:f>'Calculations'!D15</x:f>
        <x:v>1.575</x:v>
      </x:c>
      <x:c r="BE18" s="106"/>
      <x:c r="BF18" s="106"/>
      <x:c r="BG18" s="106"/>
      <x:c r="BH18" s="106"/>
      <x:c r="BI18" s="106"/>
      <x:c r="BJ18" s="106"/>
      <x:c r="BK18" s="88"/>
      <x:c r="BL18" s="88"/>
      <x:c r="BM18" s="83"/>
      <x:c r="BN18" s="83"/>
    </x:row>
    <x:row r="19" ht="18" customHeight="1">
      <x:c r="A19" s="83"/>
      <x:c r="B19" s="83"/>
      <x:c r="C19" s="88"/>
      <x:c r="D19" s="97" t="str">
        <x:v>Years | 2–5 | Equal annual deployment</x:v>
      </x:c>
      <x:c r="E19" s="97"/>
      <x:c r="F19" s="97"/>
      <x:c r="G19" s="97"/>
      <x:c r="H19" s="97"/>
      <x:c r="I19" s="97"/>
      <x:c r="J19" s="97"/>
      <x:c r="K19" s="97"/>
      <x:c r="L19" s="97"/>
      <x:c r="M19" s="97"/>
      <x:c r="N19" s="97"/>
      <x:c r="O19" s="97"/>
      <x:c r="P19" s="97"/>
      <x:c r="Q19" s="97"/>
      <x:c r="R19" s="97"/>
      <x:c r="S19" s="97"/>
      <x:c r="T19" s="97"/>
      <x:c r="U19" s="97"/>
      <x:c r="V19" s="97"/>
      <x:c r="W19" s="97"/>
      <x:c r="X19" s="97"/>
      <x:c r="Y19" s="97"/>
      <x:c r="Z19" s="97"/>
      <x:c r="AA19" s="97"/>
      <x:c r="AB19" s="97"/>
      <x:c r="AC19" s="97"/>
      <x:c r="AD19" s="97"/>
      <x:c r="AE19" s="97"/>
      <x:c r="AF19" s="88"/>
      <x:c r="AG19" s="83"/>
      <x:c r="AH19" s="88"/>
      <x:c r="AI19" s="88"/>
      <x:c r="AJ19" s="90"/>
      <x:c r="AK19" s="90"/>
      <x:c r="AL19" s="90"/>
      <x:c r="AM19" s="90"/>
      <x:c r="AN19" s="90"/>
      <x:c r="AO19" s="90"/>
      <x:c r="AP19" s="90"/>
      <x:c r="AQ19" s="90"/>
      <x:c r="AR19" s="90"/>
      <x:c r="AS19" s="90"/>
      <x:c r="AT19" s="90"/>
      <x:c r="AU19" s="90"/>
      <x:c r="AV19" s="90"/>
      <x:c r="AW19" s="90"/>
      <x:c r="AX19" s="90"/>
      <x:c r="AY19" s="90"/>
      <x:c r="AZ19" s="90"/>
      <x:c r="BA19" s="90"/>
      <x:c r="BB19" s="90"/>
      <x:c r="BC19" s="88"/>
      <x:c r="BD19" s="106"/>
      <x:c r="BE19" s="106"/>
      <x:c r="BF19" s="106"/>
      <x:c r="BG19" s="106"/>
      <x:c r="BH19" s="106"/>
      <x:c r="BI19" s="106"/>
      <x:c r="BJ19" s="106"/>
      <x:c r="BK19" s="88"/>
      <x:c r="BL19" s="88"/>
      <x:c r="BM19" s="83"/>
      <x:c r="BN19" s="83"/>
    </x:row>
    <x:row r="20" ht="18" customHeight="1">
      <x:c r="A20" s="83"/>
      <x:c r="B20" s="83"/>
      <x:c r="C20" s="88"/>
      <x:c r="D20" s="90" t="str">
        <x:v>Wet-lab funding share</x:v>
      </x:c>
      <x:c r="E20" s="90"/>
      <x:c r="F20" s="90"/>
      <x:c r="G20" s="90"/>
      <x:c r="H20" s="90"/>
      <x:c r="I20" s="90"/>
      <x:c r="J20" s="90"/>
      <x:c r="K20" s="90"/>
      <x:c r="L20" s="90"/>
      <x:c r="M20" s="90"/>
      <x:c r="N20" s="90"/>
      <x:c r="O20" s="90"/>
      <x:c r="P20" s="90"/>
      <x:c r="Q20" s="90"/>
      <x:c r="R20" s="90"/>
      <x:c r="S20" s="90"/>
      <x:c r="T20" s="90"/>
      <x:c r="U20" s="90"/>
      <x:c r="V20" s="90"/>
      <x:c r="W20" s="90"/>
      <x:c r="X20" s="90"/>
      <x:c r="Y20" s="90"/>
      <x:c r="Z20" s="90"/>
      <x:c r="AA20" s="90"/>
      <x:c r="AB20" s="90"/>
      <x:c r="AC20" s="88"/>
      <x:c r="AD20" s="88"/>
      <x:c r="AE20" s="88"/>
      <x:c r="AF20" s="88"/>
      <x:c r="AG20" s="83"/>
      <x:c r="AH20" s="88"/>
      <x:c r="AI20" s="88"/>
      <x:c r="AJ20" s="97" t="str">
        <x:v>Equipment stock accumulates over deployment</x:v>
      </x:c>
      <x:c r="AK20" s="97"/>
      <x:c r="AL20" s="97"/>
      <x:c r="AM20" s="97"/>
      <x:c r="AN20" s="97"/>
      <x:c r="AO20" s="97"/>
      <x:c r="AP20" s="97"/>
      <x:c r="AQ20" s="97"/>
      <x:c r="AR20" s="97"/>
      <x:c r="AS20" s="97"/>
      <x:c r="AT20" s="97"/>
      <x:c r="AU20" s="97"/>
      <x:c r="AV20" s="97"/>
      <x:c r="AW20" s="97"/>
      <x:c r="AX20" s="97"/>
      <x:c r="AY20" s="97"/>
      <x:c r="AZ20" s="97"/>
      <x:c r="BA20" s="97"/>
      <x:c r="BB20" s="97"/>
      <x:c r="BC20" s="97"/>
      <x:c r="BD20" s="97"/>
      <x:c r="BE20" s="97"/>
      <x:c r="BF20" s="97"/>
      <x:c r="BG20" s="97"/>
      <x:c r="BH20" s="97"/>
      <x:c r="BI20" s="97"/>
      <x:c r="BJ20" s="97"/>
      <x:c r="BK20" s="88"/>
      <x:c r="BL20" s="88"/>
      <x:c r="BM20" s="83"/>
      <x:c r="BN20" s="83"/>
    </x:row>
    <x:row r="21" ht="18" customHeight="1">
      <x:c r="A21" s="83"/>
      <x:c r="B21" s="83"/>
      <x:c r="C21" s="88"/>
      <x:c r="D21" s="90"/>
      <x:c r="E21" s="90"/>
      <x:c r="F21" s="90"/>
      <x:c r="G21" s="90"/>
      <x:c r="H21" s="90"/>
      <x:c r="I21" s="90"/>
      <x:c r="J21" s="90"/>
      <x:c r="K21" s="90"/>
      <x:c r="L21" s="90"/>
      <x:c r="M21" s="90"/>
      <x:c r="N21" s="90"/>
      <x:c r="O21" s="90"/>
      <x:c r="P21" s="90"/>
      <x:c r="Q21" s="90"/>
      <x:c r="R21" s="90"/>
      <x:c r="S21" s="90"/>
      <x:c r="T21" s="90"/>
      <x:c r="U21" s="90"/>
      <x:c r="V21" s="90"/>
      <x:c r="W21" s="90"/>
      <x:c r="X21" s="90"/>
      <x:c r="Y21" s="90"/>
      <x:c r="Z21" s="90"/>
      <x:c r="AA21" s="90"/>
      <x:c r="AB21" s="90"/>
      <x:c r="AC21" s="98" t="n">
        <x:v>35</x:v>
      </x:c>
      <x:c r="AD21" s="98"/>
      <x:c r="AE21" s="98"/>
      <x:c r="AF21" s="88"/>
      <x:c r="AG21" s="83"/>
      <x:c r="AH21" s="88"/>
      <x:c r="AI21" s="88"/>
      <x:c r="AJ21" s="107"/>
      <x:c r="AK21" s="107"/>
      <x:c r="AL21" s="107"/>
      <x:c r="AM21" s="107"/>
      <x:c r="AN21" s="107"/>
      <x:c r="AO21" s="107"/>
      <x:c r="AP21" s="107"/>
      <x:c r="AQ21" s="107"/>
      <x:c r="AR21" s="107"/>
      <x:c r="AS21" s="107"/>
      <x:c r="AT21" s="107"/>
      <x:c r="AU21" s="107"/>
      <x:c r="AV21" s="107"/>
      <x:c r="AW21" s="107"/>
      <x:c r="AX21" s="107"/>
      <x:c r="AY21" s="107"/>
      <x:c r="AZ21" s="107"/>
      <x:c r="BA21" s="107"/>
      <x:c r="BB21" s="107"/>
      <x:c r="BC21" s="107"/>
      <x:c r="BD21" s="107"/>
      <x:c r="BE21" s="107"/>
      <x:c r="BF21" s="107"/>
      <x:c r="BG21" s="107"/>
      <x:c r="BH21" s="107"/>
      <x:c r="BI21" s="107"/>
      <x:c r="BJ21" s="107"/>
      <x:c r="BK21" s="88"/>
      <x:c r="BL21" s="88"/>
      <x:c r="BM21" s="83"/>
      <x:c r="BN21" s="83"/>
    </x:row>
    <x:row r="22" ht="18" customHeight="1">
      <x:c r="A22" s="83"/>
      <x:c r="B22" s="83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  <x:c r="X22" s="88"/>
      <x:c r="Y22" s="88"/>
      <x:c r="Z22" s="88"/>
      <x:c r="AA22" s="88"/>
      <x:c r="AB22" s="88"/>
      <x:c r="AC22" s="98"/>
      <x:c r="AD22" s="98"/>
      <x:c r="AE22" s="98"/>
      <x:c r="AF22" s="88"/>
      <x:c r="AG22" s="83"/>
      <x:c r="AH22" s="88"/>
      <x:c r="AI22" s="88"/>
      <x:c r="AJ22" s="90" t="str">
        <x:v>Lab execution</x:v>
      </x:c>
      <x:c r="AK22" s="90"/>
      <x:c r="AL22" s="90"/>
      <x:c r="AM22" s="90"/>
      <x:c r="AN22" s="90"/>
      <x:c r="AO22" s="90"/>
      <x:c r="AP22" s="90"/>
      <x:c r="AQ22" s="90"/>
      <x:c r="AR22" s="90"/>
      <x:c r="AS22" s="90"/>
      <x:c r="AT22" s="90"/>
      <x:c r="AU22" s="90"/>
      <x:c r="AV22" s="90"/>
      <x:c r="AW22" s="90"/>
      <x:c r="AX22" s="90"/>
      <x:c r="AY22" s="90"/>
      <x:c r="AZ22" s="90"/>
      <x:c r="BA22" s="90"/>
      <x:c r="BB22" s="90"/>
      <x:c r="BC22" s="88"/>
      <x:c r="BD22" s="106" t="n">
        <x:f>'Calculations'!D16</x:f>
        <x:v>1.9250000000000003</x:v>
      </x:c>
      <x:c r="BE22" s="106"/>
      <x:c r="BF22" s="106"/>
      <x:c r="BG22" s="106"/>
      <x:c r="BH22" s="106"/>
      <x:c r="BI22" s="106"/>
      <x:c r="BJ22" s="106"/>
      <x:c r="BK22" s="88"/>
      <x:c r="BL22" s="88"/>
      <x:c r="BM22" s="83"/>
      <x:c r="BN22" s="83"/>
    </x:row>
    <x:row r="23" ht="18" customHeight="1">
      <x:c r="A23" s="83"/>
      <x:c r="B23" s="83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  <x:c r="X23" s="88"/>
      <x:c r="Y23" s="88"/>
      <x:c r="Z23" s="88"/>
      <x:c r="AA23" s="88"/>
      <x:c r="AB23" s="88"/>
      <x:c r="AC23" s="88"/>
      <x:c r="AD23" s="88"/>
      <x:c r="AE23" s="88"/>
      <x:c r="AF23" s="88"/>
      <x:c r="AG23" s="83"/>
      <x:c r="AH23" s="88"/>
      <x:c r="AI23" s="88"/>
      <x:c r="AJ23" s="90"/>
      <x:c r="AK23" s="90"/>
      <x:c r="AL23" s="90"/>
      <x:c r="AM23" s="90"/>
      <x:c r="AN23" s="90"/>
      <x:c r="AO23" s="90"/>
      <x:c r="AP23" s="90"/>
      <x:c r="AQ23" s="90"/>
      <x:c r="AR23" s="90"/>
      <x:c r="AS23" s="90"/>
      <x:c r="AT23" s="90"/>
      <x:c r="AU23" s="90"/>
      <x:c r="AV23" s="90"/>
      <x:c r="AW23" s="90"/>
      <x:c r="AX23" s="90"/>
      <x:c r="AY23" s="90"/>
      <x:c r="AZ23" s="90"/>
      <x:c r="BA23" s="90"/>
      <x:c r="BB23" s="90"/>
      <x:c r="BC23" s="88"/>
      <x:c r="BD23" s="106"/>
      <x:c r="BE23" s="106"/>
      <x:c r="BF23" s="106"/>
      <x:c r="BG23" s="106"/>
      <x:c r="BH23" s="106"/>
      <x:c r="BI23" s="106"/>
      <x:c r="BJ23" s="106"/>
      <x:c r="BK23" s="88"/>
      <x:c r="BL23" s="88"/>
      <x:c r="BM23" s="83"/>
      <x:c r="BN23" s="83"/>
    </x:row>
    <x:row r="24" ht="18" customHeight="1">
      <x:c r="A24" s="83"/>
      <x:c r="B24" s="83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  <x:c r="X24" s="88"/>
      <x:c r="Y24" s="88"/>
      <x:c r="Z24" s="88"/>
      <x:c r="AA24" s="88"/>
      <x:c r="AB24" s="88"/>
      <x:c r="AC24" s="88"/>
      <x:c r="AD24" s="88"/>
      <x:c r="AE24" s="88"/>
      <x:c r="AF24" s="88"/>
      <x:c r="AG24" s="83"/>
      <x:c r="AH24" s="88"/>
      <x:c r="AI24" s="88"/>
      <x:c r="AJ24" s="97" t="str">
        <x:v>People, inputs and shared operations</x:v>
      </x:c>
      <x:c r="AK24" s="97"/>
      <x:c r="AL24" s="97"/>
      <x:c r="AM24" s="97"/>
      <x:c r="AN24" s="97"/>
      <x:c r="AO24" s="97"/>
      <x:c r="AP24" s="97"/>
      <x:c r="AQ24" s="97"/>
      <x:c r="AR24" s="97"/>
      <x:c r="AS24" s="97"/>
      <x:c r="AT24" s="97"/>
      <x:c r="AU24" s="97"/>
      <x:c r="AV24" s="97"/>
      <x:c r="AW24" s="97"/>
      <x:c r="AX24" s="97"/>
      <x:c r="AY24" s="97"/>
      <x:c r="AZ24" s="97"/>
      <x:c r="BA24" s="97"/>
      <x:c r="BB24" s="97"/>
      <x:c r="BC24" s="97"/>
      <x:c r="BD24" s="97"/>
      <x:c r="BE24" s="97"/>
      <x:c r="BF24" s="97"/>
      <x:c r="BG24" s="97"/>
      <x:c r="BH24" s="97"/>
      <x:c r="BI24" s="97"/>
      <x:c r="BJ24" s="97"/>
      <x:c r="BK24" s="88"/>
      <x:c r="BL24" s="88"/>
      <x:c r="BM24" s="83"/>
      <x:c r="BN24" s="83"/>
    </x:row>
    <x:row r="25" ht="18" customHeight="1">
      <x:c r="A25" s="83"/>
      <x:c r="B25" s="83"/>
      <x:c r="C25" s="88"/>
      <x:c r="D25" s="100" t="str">
        <x:v>Drag the native scrollbars in desktop Excel, or edit the blue numbers. Costs and response coefficients are analyst assumptions.</x:v>
      </x:c>
      <x:c r="E25" s="100"/>
      <x:c r="F25" s="100"/>
      <x:c r="G25" s="100"/>
      <x:c r="H25" s="100"/>
      <x:c r="I25" s="100"/>
      <x:c r="J25" s="100"/>
      <x:c r="K25" s="100"/>
      <x:c r="L25" s="100"/>
      <x:c r="M25" s="100"/>
      <x:c r="N25" s="100"/>
      <x:c r="O25" s="100"/>
      <x:c r="P25" s="100"/>
      <x:c r="Q25" s="100"/>
      <x:c r="R25" s="100"/>
      <x:c r="S25" s="100"/>
      <x:c r="T25" s="100"/>
      <x:c r="U25" s="100"/>
      <x:c r="V25" s="100"/>
      <x:c r="W25" s="100"/>
      <x:c r="X25" s="100"/>
      <x:c r="Y25" s="100"/>
      <x:c r="Z25" s="100"/>
      <x:c r="AA25" s="100"/>
      <x:c r="AB25" s="100"/>
      <x:c r="AC25" s="100"/>
      <x:c r="AD25" s="100"/>
      <x:c r="AE25" s="100"/>
      <x:c r="AF25" s="88"/>
      <x:c r="AG25" s="83"/>
      <x:c r="AH25" s="88"/>
      <x:c r="AI25" s="88"/>
      <x:c r="AJ25" s="107"/>
      <x:c r="AK25" s="107"/>
      <x:c r="AL25" s="107"/>
      <x:c r="AM25" s="107"/>
      <x:c r="AN25" s="107"/>
      <x:c r="AO25" s="107"/>
      <x:c r="AP25" s="107"/>
      <x:c r="AQ25" s="107"/>
      <x:c r="AR25" s="107"/>
      <x:c r="AS25" s="107"/>
      <x:c r="AT25" s="107"/>
      <x:c r="AU25" s="107"/>
      <x:c r="AV25" s="107"/>
      <x:c r="AW25" s="107"/>
      <x:c r="AX25" s="107"/>
      <x:c r="AY25" s="107"/>
      <x:c r="AZ25" s="107"/>
      <x:c r="BA25" s="107"/>
      <x:c r="BB25" s="107"/>
      <x:c r="BC25" s="107"/>
      <x:c r="BD25" s="107"/>
      <x:c r="BE25" s="107"/>
      <x:c r="BF25" s="107"/>
      <x:c r="BG25" s="107"/>
      <x:c r="BH25" s="107"/>
      <x:c r="BI25" s="107"/>
      <x:c r="BJ25" s="107"/>
      <x:c r="BK25" s="88"/>
      <x:c r="BL25" s="88"/>
      <x:c r="BM25" s="83"/>
      <x:c r="BN25" s="83"/>
    </x:row>
    <x:row r="26" ht="18" customHeight="1">
      <x:c r="A26" s="83"/>
      <x:c r="B26" s="83"/>
      <x:c r="C26" s="88"/>
      <x:c r="D26" s="100"/>
      <x:c r="E26" s="100"/>
      <x:c r="F26" s="100"/>
      <x:c r="G26" s="100"/>
      <x:c r="H26" s="100"/>
      <x:c r="I26" s="100"/>
      <x:c r="J26" s="100"/>
      <x:c r="K26" s="100"/>
      <x:c r="L26" s="100"/>
      <x:c r="M26" s="100"/>
      <x:c r="N26" s="100"/>
      <x:c r="O26" s="100"/>
      <x:c r="P26" s="100"/>
      <x:c r="Q26" s="100"/>
      <x:c r="R26" s="100"/>
      <x:c r="S26" s="100"/>
      <x:c r="T26" s="100"/>
      <x:c r="U26" s="100"/>
      <x:c r="V26" s="100"/>
      <x:c r="W26" s="100"/>
      <x:c r="X26" s="100"/>
      <x:c r="Y26" s="100"/>
      <x:c r="Z26" s="100"/>
      <x:c r="AA26" s="100"/>
      <x:c r="AB26" s="100"/>
      <x:c r="AC26" s="100"/>
      <x:c r="AD26" s="100"/>
      <x:c r="AE26" s="100"/>
      <x:c r="AF26" s="88"/>
      <x:c r="AG26" s="83"/>
      <x:c r="AH26" s="88"/>
      <x:c r="AI26" s="88"/>
      <x:c r="AJ26" s="88"/>
      <x:c r="AK26" s="88"/>
      <x:c r="AL26" s="88"/>
      <x:c r="AM26" s="88"/>
      <x:c r="AN26" s="88"/>
      <x:c r="AO26" s="88"/>
      <x:c r="AP26" s="88"/>
      <x:c r="AQ26" s="88"/>
      <x:c r="AR26" s="88"/>
      <x:c r="AS26" s="88"/>
      <x:c r="AT26" s="88"/>
      <x:c r="AU26" s="88"/>
      <x:c r="AV26" s="88"/>
      <x:c r="AW26" s="88"/>
      <x:c r="AX26" s="88"/>
      <x:c r="AY26" s="88"/>
      <x:c r="AZ26" s="88"/>
      <x:c r="BA26" s="88"/>
      <x:c r="BB26" s="88"/>
      <x:c r="BC26" s="88"/>
      <x:c r="BD26" s="88"/>
      <x:c r="BE26" s="88"/>
      <x:c r="BF26" s="88"/>
      <x:c r="BG26" s="88"/>
      <x:c r="BH26" s="88"/>
      <x:c r="BI26" s="88"/>
      <x:c r="BJ26" s="88"/>
      <x:c r="BK26" s="88"/>
      <x:c r="BL26" s="88"/>
      <x:c r="BM26" s="83"/>
      <x:c r="BN26" s="83"/>
    </x:row>
    <x:row r="27" ht="18" customHeight="1">
      <x:c r="A27" s="83"/>
      <x:c r="B27" s="83"/>
      <x:c r="C27" s="88"/>
      <x:c r="D27" s="100"/>
      <x:c r="E27" s="100"/>
      <x:c r="F27" s="100"/>
      <x:c r="G27" s="100"/>
      <x:c r="H27" s="100"/>
      <x:c r="I27" s="100"/>
      <x:c r="J27" s="100"/>
      <x:c r="K27" s="100"/>
      <x:c r="L27" s="100"/>
      <x:c r="M27" s="100"/>
      <x:c r="N27" s="100"/>
      <x:c r="O27" s="100"/>
      <x:c r="P27" s="100"/>
      <x:c r="Q27" s="100"/>
      <x:c r="R27" s="100"/>
      <x:c r="S27" s="100"/>
      <x:c r="T27" s="100"/>
      <x:c r="U27" s="100"/>
      <x:c r="V27" s="100"/>
      <x:c r="W27" s="100"/>
      <x:c r="X27" s="100"/>
      <x:c r="Y27" s="100"/>
      <x:c r="Z27" s="100"/>
      <x:c r="AA27" s="100"/>
      <x:c r="AB27" s="100"/>
      <x:c r="AC27" s="100"/>
      <x:c r="AD27" s="100"/>
      <x:c r="AE27" s="100"/>
      <x:c r="AF27" s="88"/>
      <x:c r="AG27" s="83"/>
      <x:c r="AH27" s="88"/>
      <x:c r="AI27" s="88"/>
      <x:c r="AJ27" s="100" t="str">
        <x:v>Other uses include compute, facilities and software. Funding does not flow entirely to tool suppliers.</x:v>
      </x:c>
      <x:c r="AK27" s="100"/>
      <x:c r="AL27" s="100"/>
      <x:c r="AM27" s="100"/>
      <x:c r="AN27" s="100"/>
      <x:c r="AO27" s="100"/>
      <x:c r="AP27" s="100"/>
      <x:c r="AQ27" s="100"/>
      <x:c r="AR27" s="100"/>
      <x:c r="AS27" s="100"/>
      <x:c r="AT27" s="100"/>
      <x:c r="AU27" s="100"/>
      <x:c r="AV27" s="100"/>
      <x:c r="AW27" s="100"/>
      <x:c r="AX27" s="100"/>
      <x:c r="AY27" s="100"/>
      <x:c r="AZ27" s="100"/>
      <x:c r="BA27" s="100"/>
      <x:c r="BB27" s="100"/>
      <x:c r="BC27" s="100"/>
      <x:c r="BD27" s="100"/>
      <x:c r="BE27" s="100"/>
      <x:c r="BF27" s="100"/>
      <x:c r="BG27" s="100"/>
      <x:c r="BH27" s="100"/>
      <x:c r="BI27" s="100"/>
      <x:c r="BJ27" s="100"/>
      <x:c r="BK27" s="88"/>
      <x:c r="BL27" s="88"/>
      <x:c r="BM27" s="83"/>
      <x:c r="BN27" s="83"/>
    </x:row>
    <x:row r="28" ht="18" customHeight="1">
      <x:c r="A28" s="83"/>
      <x:c r="B28" s="83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  <x:c r="X28" s="88"/>
      <x:c r="Y28" s="88"/>
      <x:c r="Z28" s="88"/>
      <x:c r="AA28" s="88"/>
      <x:c r="AB28" s="88"/>
      <x:c r="AC28" s="88"/>
      <x:c r="AD28" s="88"/>
      <x:c r="AE28" s="88"/>
      <x:c r="AF28" s="88"/>
      <x:c r="AG28" s="83"/>
      <x:c r="AH28" s="88"/>
      <x:c r="AI28" s="88"/>
      <x:c r="AJ28" s="100"/>
      <x:c r="AK28" s="100"/>
      <x:c r="AL28" s="100"/>
      <x:c r="AM28" s="100"/>
      <x:c r="AN28" s="100"/>
      <x:c r="AO28" s="100"/>
      <x:c r="AP28" s="100"/>
      <x:c r="AQ28" s="100"/>
      <x:c r="AR28" s="100"/>
      <x:c r="AS28" s="100"/>
      <x:c r="AT28" s="100"/>
      <x:c r="AU28" s="100"/>
      <x:c r="AV28" s="100"/>
      <x:c r="AW28" s="100"/>
      <x:c r="AX28" s="100"/>
      <x:c r="AY28" s="100"/>
      <x:c r="AZ28" s="100"/>
      <x:c r="BA28" s="100"/>
      <x:c r="BB28" s="100"/>
      <x:c r="BC28" s="100"/>
      <x:c r="BD28" s="100"/>
      <x:c r="BE28" s="100"/>
      <x:c r="BF28" s="100"/>
      <x:c r="BG28" s="100"/>
      <x:c r="BH28" s="100"/>
      <x:c r="BI28" s="100"/>
      <x:c r="BJ28" s="100"/>
      <x:c r="BK28" s="88"/>
      <x:c r="BL28" s="88"/>
      <x:c r="BM28" s="83"/>
      <x:c r="BN28" s="83"/>
    </x:row>
    <x:row r="29" ht="18" customHeight="1">
      <x:c r="A29" s="83"/>
      <x:c r="B29" s="83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  <x:c r="X29" s="88"/>
      <x:c r="Y29" s="88"/>
      <x:c r="Z29" s="88"/>
      <x:c r="AA29" s="88"/>
      <x:c r="AB29" s="88"/>
      <x:c r="AC29" s="88"/>
      <x:c r="AD29" s="88"/>
      <x:c r="AE29" s="88"/>
      <x:c r="AF29" s="88"/>
      <x:c r="AG29" s="83"/>
      <x:c r="AH29" s="88"/>
      <x:c r="AI29" s="88"/>
      <x:c r="AJ29" s="88"/>
      <x:c r="AK29" s="88"/>
      <x:c r="AL29" s="88"/>
      <x:c r="AM29" s="88"/>
      <x:c r="AN29" s="88"/>
      <x:c r="AO29" s="88"/>
      <x:c r="AP29" s="88"/>
      <x:c r="AQ29" s="88"/>
      <x:c r="AR29" s="88"/>
      <x:c r="AS29" s="88"/>
      <x:c r="AT29" s="88"/>
      <x:c r="AU29" s="88"/>
      <x:c r="AV29" s="88"/>
      <x:c r="AW29" s="88"/>
      <x:c r="AX29" s="88"/>
      <x:c r="AY29" s="88"/>
      <x:c r="AZ29" s="88"/>
      <x:c r="BA29" s="88"/>
      <x:c r="BB29" s="88"/>
      <x:c r="BC29" s="88"/>
      <x:c r="BD29" s="88"/>
      <x:c r="BE29" s="88"/>
      <x:c r="BF29" s="88"/>
      <x:c r="BG29" s="88"/>
      <x:c r="BH29" s="88"/>
      <x:c r="BI29" s="88"/>
      <x:c r="BJ29" s="88"/>
      <x:c r="BK29" s="88"/>
      <x:c r="BL29" s="88"/>
      <x:c r="BM29" s="83"/>
      <x:c r="BN29" s="83"/>
    </x:row>
    <x:row r="30" ht="18" customHeight="1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83"/>
      <x:c r="R30" s="83"/>
      <x:c r="S30" s="83"/>
      <x:c r="T30" s="83"/>
      <x:c r="U30" s="83"/>
      <x:c r="V30" s="83"/>
      <x:c r="W30" s="83"/>
      <x:c r="X30" s="83"/>
      <x:c r="Y30" s="83"/>
      <x:c r="Z30" s="83"/>
      <x:c r="AA30" s="83"/>
      <x:c r="AB30" s="83"/>
      <x:c r="AC30" s="83"/>
      <x:c r="AD30" s="83"/>
      <x:c r="AE30" s="83"/>
      <x:c r="AF30" s="83"/>
      <x:c r="AG30" s="83"/>
      <x:c r="AH30" s="83"/>
      <x:c r="AI30" s="83"/>
      <x:c r="AJ30" s="83"/>
      <x:c r="AK30" s="83"/>
      <x:c r="AL30" s="83"/>
      <x:c r="AM30" s="83"/>
      <x:c r="AN30" s="83"/>
      <x:c r="AO30" s="83"/>
      <x:c r="AP30" s="83"/>
      <x:c r="AQ30" s="83"/>
      <x:c r="AR30" s="83"/>
      <x:c r="AS30" s="83"/>
      <x:c r="AT30" s="83"/>
      <x:c r="AU30" s="83"/>
      <x:c r="AV30" s="83"/>
      <x:c r="AW30" s="83"/>
      <x:c r="AX30" s="83"/>
      <x:c r="AY30" s="83"/>
      <x:c r="AZ30" s="83"/>
      <x:c r="BA30" s="83"/>
      <x:c r="BB30" s="83"/>
      <x:c r="BC30" s="83"/>
      <x:c r="BD30" s="83"/>
      <x:c r="BE30" s="83"/>
      <x:c r="BF30" s="83"/>
      <x:c r="BG30" s="83"/>
      <x:c r="BH30" s="83"/>
      <x:c r="BI30" s="83"/>
      <x:c r="BJ30" s="83"/>
      <x:c r="BK30" s="83"/>
      <x:c r="BL30" s="83"/>
      <x:c r="BM30" s="83"/>
      <x:c r="BN30" s="83"/>
    </x:row>
    <x:row r="31" ht="18" customHeight="1">
      <x:c r="A31" s="83"/>
      <x:c r="B31" s="83"/>
      <x:c r="C31" s="109" t="str">
        <x:f>"WORKFLOW: "&amp;'Inputs'!E5&amp;"   |   Edit selector and Total mix on Inputs"</x:f>
        <x:v>WORKFLOW: Total - all workflows   |   Edit selector and Total mix on Inputs</x:v>
      </x:c>
      <x:c r="D31" s="109"/>
      <x:c r="E31" s="109"/>
      <x:c r="F31" s="109"/>
      <x:c r="G31" s="109"/>
      <x:c r="H31" s="109"/>
      <x:c r="I31" s="109"/>
      <x:c r="J31" s="109"/>
      <x:c r="K31" s="109"/>
      <x:c r="L31" s="109"/>
      <x:c r="M31" s="109"/>
      <x:c r="N31" s="109"/>
      <x:c r="O31" s="109"/>
      <x:c r="P31" s="109"/>
      <x:c r="Q31" s="109"/>
      <x:c r="R31" s="109"/>
      <x:c r="S31" s="109"/>
      <x:c r="T31" s="109"/>
      <x:c r="U31" s="109"/>
      <x:c r="V31" s="109"/>
      <x:c r="W31" s="109"/>
      <x:c r="X31" s="109"/>
      <x:c r="Y31" s="109"/>
      <x:c r="Z31" s="109"/>
      <x:c r="AA31" s="109"/>
      <x:c r="AB31" s="109"/>
      <x:c r="AC31" s="109"/>
      <x:c r="AD31" s="109"/>
      <x:c r="AE31" s="109"/>
      <x:c r="AF31" s="109"/>
      <x:c r="AG31" s="109"/>
      <x:c r="AH31" s="109"/>
      <x:c r="AI31" s="109"/>
      <x:c r="AJ31" s="109"/>
      <x:c r="AK31" s="109"/>
      <x:c r="AL31" s="109"/>
      <x:c r="AM31" s="109"/>
      <x:c r="AN31" s="109"/>
      <x:c r="AO31" s="109"/>
      <x:c r="AP31" s="109"/>
      <x:c r="AQ31" s="109"/>
      <x:c r="AR31" s="109"/>
      <x:c r="AS31" s="109"/>
      <x:c r="AT31" s="109"/>
      <x:c r="AU31" s="109"/>
      <x:c r="AV31" s="109"/>
      <x:c r="AW31" s="109"/>
      <x:c r="AX31" s="109"/>
      <x:c r="AY31" s="109"/>
      <x:c r="AZ31" s="109"/>
      <x:c r="BA31" s="109"/>
      <x:c r="BB31" s="109"/>
      <x:c r="BC31" s="109"/>
      <x:c r="BD31" s="109"/>
      <x:c r="BE31" s="109"/>
      <x:c r="BF31" s="109"/>
      <x:c r="BG31" s="109"/>
      <x:c r="BH31" s="109"/>
      <x:c r="BI31" s="109"/>
      <x:c r="BJ31" s="109"/>
      <x:c r="BK31" s="109"/>
      <x:c r="BL31" s="109"/>
      <x:c r="BM31" s="83"/>
      <x:c r="BN31" s="83"/>
    </x:row>
    <x:row r="32" ht="18" customHeight="1">
      <x:c r="A32" s="83"/>
      <x:c r="B32" s="83"/>
      <x:c r="C32" s="109"/>
      <x:c r="D32" s="109"/>
      <x:c r="E32" s="109"/>
      <x:c r="F32" s="109"/>
      <x:c r="G32" s="109"/>
      <x:c r="H32" s="109"/>
      <x:c r="I32" s="109"/>
      <x:c r="J32" s="109"/>
      <x:c r="K32" s="109"/>
      <x:c r="L32" s="109"/>
      <x:c r="M32" s="109"/>
      <x:c r="N32" s="109"/>
      <x:c r="O32" s="109"/>
      <x:c r="P32" s="109"/>
      <x:c r="Q32" s="109"/>
      <x:c r="R32" s="109"/>
      <x:c r="S32" s="109"/>
      <x:c r="T32" s="109"/>
      <x:c r="U32" s="109"/>
      <x:c r="V32" s="109"/>
      <x:c r="W32" s="109"/>
      <x:c r="X32" s="109"/>
      <x:c r="Y32" s="109"/>
      <x:c r="Z32" s="109"/>
      <x:c r="AA32" s="109"/>
      <x:c r="AB32" s="109"/>
      <x:c r="AC32" s="109"/>
      <x:c r="AD32" s="109"/>
      <x:c r="AE32" s="109"/>
      <x:c r="AF32" s="109"/>
      <x:c r="AG32" s="109"/>
      <x:c r="AH32" s="109"/>
      <x:c r="AI32" s="109"/>
      <x:c r="AJ32" s="109"/>
      <x:c r="AK32" s="109"/>
      <x:c r="AL32" s="109"/>
      <x:c r="AM32" s="109"/>
      <x:c r="AN32" s="109"/>
      <x:c r="AO32" s="109"/>
      <x:c r="AP32" s="109"/>
      <x:c r="AQ32" s="109"/>
      <x:c r="AR32" s="109"/>
      <x:c r="AS32" s="109"/>
      <x:c r="AT32" s="109"/>
      <x:c r="AU32" s="109"/>
      <x:c r="AV32" s="109"/>
      <x:c r="AW32" s="109"/>
      <x:c r="AX32" s="109"/>
      <x:c r="AY32" s="109"/>
      <x:c r="AZ32" s="109"/>
      <x:c r="BA32" s="109"/>
      <x:c r="BB32" s="109"/>
      <x:c r="BC32" s="109"/>
      <x:c r="BD32" s="109"/>
      <x:c r="BE32" s="109"/>
      <x:c r="BF32" s="109"/>
      <x:c r="BG32" s="109"/>
      <x:c r="BH32" s="109"/>
      <x:c r="BI32" s="109"/>
      <x:c r="BJ32" s="109"/>
      <x:c r="BK32" s="109"/>
      <x:c r="BL32" s="109"/>
      <x:c r="BM32" s="83"/>
      <x:c r="BN32" s="83"/>
    </x:row>
    <x:row r="33" ht="18" customHeight="1">
      <x:c r="A33" s="83"/>
      <x:c r="B33" s="83"/>
      <x:c r="C33" s="111" t="str">
        <x:f>IF('Inputs'!D5=4,IF('Inputs'!D105="Valid","Total mix: Antibody "&amp;TEXT('Inputs'!E100,"0.0%")&amp;" / Cell data "&amp;TEXT('Inputs'!E101,"0.0%")&amp;" / Small molecule "&amp;TEXT('Inputs'!E102,"0.0%"),"Set at least one positive workflow weight on Inputs"),"Single workflow selected; Total weights are retained")</x:f>
        <x:v>Total mix: Antibody 33.3% / Cell data 33.3% / Small molecule 33.3%</x:v>
      </x:c>
      <x:c r="D33" s="111"/>
      <x:c r="E33" s="111"/>
      <x:c r="F33" s="111"/>
      <x:c r="G33" s="111"/>
      <x:c r="H33" s="111"/>
      <x:c r="I33" s="111"/>
      <x:c r="J33" s="111"/>
      <x:c r="K33" s="111"/>
      <x:c r="L33" s="111"/>
      <x:c r="M33" s="111"/>
      <x:c r="N33" s="111"/>
      <x:c r="O33" s="111"/>
      <x:c r="P33" s="111"/>
      <x:c r="Q33" s="111"/>
      <x:c r="R33" s="111"/>
      <x:c r="S33" s="111"/>
      <x:c r="T33" s="111"/>
      <x:c r="U33" s="111"/>
      <x:c r="V33" s="111"/>
      <x:c r="W33" s="111"/>
      <x:c r="X33" s="111"/>
      <x:c r="Y33" s="111"/>
      <x:c r="Z33" s="111"/>
      <x:c r="AA33" s="111"/>
      <x:c r="AB33" s="111"/>
      <x:c r="AC33" s="111"/>
      <x:c r="AD33" s="111"/>
      <x:c r="AE33" s="111"/>
      <x:c r="AF33" s="111"/>
      <x:c r="AG33" s="111"/>
      <x:c r="AH33" s="111"/>
      <x:c r="AI33" s="111"/>
      <x:c r="AJ33" s="111"/>
      <x:c r="AK33" s="111"/>
      <x:c r="AL33" s="111"/>
      <x:c r="AM33" s="111"/>
      <x:c r="AN33" s="111"/>
      <x:c r="AO33" s="111"/>
      <x:c r="AP33" s="111"/>
      <x:c r="AQ33" s="111"/>
      <x:c r="AR33" s="111"/>
      <x:c r="AS33" s="111"/>
      <x:c r="AT33" s="111"/>
      <x:c r="AU33" s="111"/>
      <x:c r="AV33" s="111"/>
      <x:c r="AW33" s="111"/>
      <x:c r="AX33" s="111"/>
      <x:c r="AY33" s="111"/>
      <x:c r="AZ33" s="111"/>
      <x:c r="BA33" s="111"/>
      <x:c r="BB33" s="111"/>
      <x:c r="BC33" s="111"/>
      <x:c r="BD33" s="111"/>
      <x:c r="BE33" s="111"/>
      <x:c r="BF33" s="111"/>
      <x:c r="BG33" s="111"/>
      <x:c r="BH33" s="111"/>
      <x:c r="BI33" s="111"/>
      <x:c r="BJ33" s="111"/>
      <x:c r="BK33" s="111"/>
      <x:c r="BL33" s="111"/>
      <x:c r="BM33" s="83"/>
      <x:c r="BN33" s="83"/>
    </x:row>
    <x:row r="34" ht="18" customHeight="1">
      <x:c r="A34" s="83"/>
      <x:c r="B34" s="83"/>
      <x:c r="C34" s="113" t="str">
        <x:v>DISCOVERY WORKFLOW</x:v>
      </x:c>
      <x:c r="D34" s="113"/>
      <x:c r="E34" s="113"/>
      <x:c r="F34" s="113"/>
      <x:c r="G34" s="113"/>
      <x:c r="H34" s="113"/>
      <x:c r="I34" s="113"/>
      <x:c r="J34" s="113"/>
      <x:c r="K34" s="113"/>
      <x:c r="L34" s="113"/>
      <x:c r="M34" s="113"/>
      <x:c r="N34" s="113"/>
      <x:c r="O34" s="113"/>
      <x:c r="P34" s="113"/>
      <x:c r="Q34" s="83"/>
      <x:c r="R34" s="115" t="str">
        <x:v>LST procurement response · AI-lab purchases and whole-family uplift</x:v>
      </x:c>
      <x:c r="S34" s="115"/>
      <x:c r="T34" s="115"/>
      <x:c r="U34" s="115"/>
      <x:c r="V34" s="115"/>
      <x:c r="W34" s="115"/>
      <x:c r="X34" s="115"/>
      <x:c r="Y34" s="115"/>
      <x:c r="Z34" s="115"/>
      <x:c r="AA34" s="115"/>
      <x:c r="AB34" s="115"/>
      <x:c r="AC34" s="115"/>
      <x:c r="AD34" s="115"/>
      <x:c r="AE34" s="115"/>
      <x:c r="AF34" s="115"/>
      <x:c r="AG34" s="115"/>
      <x:c r="AH34" s="115"/>
      <x:c r="AI34" s="115"/>
      <x:c r="AJ34" s="115"/>
      <x:c r="AK34" s="115"/>
      <x:c r="AL34" s="115"/>
      <x:c r="AM34" s="115"/>
      <x:c r="AN34" s="115"/>
      <x:c r="AO34" s="115"/>
      <x:c r="AP34" s="115"/>
      <x:c r="AQ34" s="115"/>
      <x:c r="AR34" s="115"/>
      <x:c r="AS34" s="115"/>
      <x:c r="AT34" s="115"/>
      <x:c r="AU34" s="115"/>
      <x:c r="AV34" s="115"/>
      <x:c r="AW34" s="115"/>
      <x:c r="AX34" s="115"/>
      <x:c r="AY34" s="115"/>
      <x:c r="AZ34" s="115"/>
      <x:c r="BA34" s="115"/>
      <x:c r="BB34" s="115"/>
      <x:c r="BC34" s="115"/>
      <x:c r="BD34" s="115"/>
      <x:c r="BE34" s="115"/>
      <x:c r="BF34" s="115"/>
      <x:c r="BG34" s="115"/>
      <x:c r="BH34" s="115"/>
      <x:c r="BI34" s="115"/>
      <x:c r="BJ34" s="115"/>
      <x:c r="BK34" s="115"/>
      <x:c r="BL34" s="115"/>
      <x:c r="BM34" s="83"/>
      <x:c r="BN34" s="83"/>
    </x:row>
    <x:row r="35" ht="18" customHeight="1">
      <x:c r="A35" s="83"/>
      <x:c r="B35" s="83"/>
      <x:c r="C35" s="113"/>
      <x:c r="D35" s="113"/>
      <x:c r="E35" s="113"/>
      <x:c r="F35" s="113"/>
      <x:c r="G35" s="113"/>
      <x:c r="H35" s="113"/>
      <x:c r="I35" s="113"/>
      <x:c r="J35" s="113"/>
      <x:c r="K35" s="113"/>
      <x:c r="L35" s="113"/>
      <x:c r="M35" s="113"/>
      <x:c r="N35" s="113"/>
      <x:c r="O35" s="113"/>
      <x:c r="P35" s="113"/>
      <x:c r="Q35" s="83"/>
      <x:c r="R35" s="115"/>
      <x:c r="S35" s="115"/>
      <x:c r="T35" s="115"/>
      <x:c r="U35" s="115"/>
      <x:c r="V35" s="115"/>
      <x:c r="W35" s="115"/>
      <x:c r="X35" s="115"/>
      <x:c r="Y35" s="115"/>
      <x:c r="Z35" s="115"/>
      <x:c r="AA35" s="115"/>
      <x:c r="AB35" s="115"/>
      <x:c r="AC35" s="115"/>
      <x:c r="AD35" s="115"/>
      <x:c r="AE35" s="115"/>
      <x:c r="AF35" s="115"/>
      <x:c r="AG35" s="115"/>
      <x:c r="AH35" s="115"/>
      <x:c r="AI35" s="115"/>
      <x:c r="AJ35" s="115"/>
      <x:c r="AK35" s="115"/>
      <x:c r="AL35" s="115"/>
      <x:c r="AM35" s="115"/>
      <x:c r="AN35" s="115"/>
      <x:c r="AO35" s="115"/>
      <x:c r="AP35" s="115"/>
      <x:c r="AQ35" s="115"/>
      <x:c r="AR35" s="115"/>
      <x:c r="AS35" s="115"/>
      <x:c r="AT35" s="115"/>
      <x:c r="AU35" s="115"/>
      <x:c r="AV35" s="115"/>
      <x:c r="AW35" s="115"/>
      <x:c r="AX35" s="115"/>
      <x:c r="AY35" s="115"/>
      <x:c r="AZ35" s="115"/>
      <x:c r="BA35" s="115"/>
      <x:c r="BB35" s="115"/>
      <x:c r="BC35" s="115"/>
      <x:c r="BD35" s="115"/>
      <x:c r="BE35" s="115"/>
      <x:c r="BF35" s="115"/>
      <x:c r="BG35" s="115"/>
      <x:c r="BH35" s="115"/>
      <x:c r="BI35" s="115"/>
      <x:c r="BJ35" s="115"/>
      <x:c r="BK35" s="115"/>
      <x:c r="BL35" s="115"/>
      <x:c r="BM35" s="83"/>
      <x:c r="BN35" s="83"/>
    </x:row>
    <x:row r="36" ht="18" customHeight="1">
      <x:c r="A36" s="83"/>
      <x:c r="B36" s="83"/>
      <x:c r="C36" s="83"/>
      <x:c r="D36" s="83"/>
      <x:c r="E36" s="83"/>
      <x:c r="F36" s="83"/>
      <x:c r="G36" s="83"/>
      <x:c r="H36" s="83"/>
      <x:c r="I36" s="83"/>
      <x:c r="J36" s="83"/>
      <x:c r="K36" s="83"/>
      <x:c r="L36" s="83"/>
      <x:c r="M36" s="83"/>
      <x:c r="N36" s="83"/>
      <x:c r="O36" s="83"/>
      <x:c r="P36" s="83"/>
      <x:c r="Q36" s="83"/>
      <x:c r="R36" s="83"/>
      <x:c r="S36" s="83"/>
      <x:c r="T36" s="83"/>
      <x:c r="U36" s="83"/>
      <x:c r="V36" s="83"/>
      <x:c r="W36" s="83"/>
      <x:c r="X36" s="83"/>
      <x:c r="Y36" s="83"/>
      <x:c r="Z36" s="83"/>
      <x:c r="AA36" s="83"/>
      <x:c r="AB36" s="83"/>
      <x:c r="AC36" s="83"/>
      <x:c r="AD36" s="83"/>
      <x:c r="AE36" s="83"/>
      <x:c r="AF36" s="83"/>
      <x:c r="AG36" s="83"/>
      <x:c r="AH36" s="83"/>
      <x:c r="AI36" s="83"/>
      <x:c r="AJ36" s="83"/>
      <x:c r="AK36" s="83"/>
      <x:c r="AL36" s="83"/>
      <x:c r="AM36" s="83"/>
      <x:c r="AN36" s="83"/>
      <x:c r="AO36" s="83"/>
      <x:c r="AP36" s="83"/>
      <x:c r="AQ36" s="83"/>
      <x:c r="AR36" s="83"/>
      <x:c r="AS36" s="83"/>
      <x:c r="AT36" s="83"/>
      <x:c r="AU36" s="83"/>
      <x:c r="AV36" s="83"/>
      <x:c r="AW36" s="83"/>
      <x:c r="AX36" s="83"/>
      <x:c r="AY36" s="83"/>
      <x:c r="AZ36" s="83"/>
      <x:c r="BA36" s="83"/>
      <x:c r="BB36" s="83"/>
      <x:c r="BC36" s="83"/>
      <x:c r="BD36" s="83"/>
      <x:c r="BE36" s="83"/>
      <x:c r="BF36" s="83"/>
      <x:c r="BG36" s="83"/>
      <x:c r="BH36" s="83"/>
      <x:c r="BI36" s="83"/>
      <x:c r="BJ36" s="83"/>
      <x:c r="BK36" s="83"/>
      <x:c r="BL36" s="83"/>
      <x:c r="BM36" s="83"/>
      <x:c r="BN36" s="83"/>
    </x:row>
    <x:row r="37" ht="18" customHeight="1">
      <x:c r="A37" s="83"/>
      <x:c r="B37" s="83"/>
      <x:c r="C37" s="83"/>
      <x:c r="D37" s="83"/>
      <x:c r="E37" s="83"/>
      <x:c r="F37" s="83"/>
      <x:c r="G37" s="83"/>
      <x:c r="H37" s="83"/>
      <x:c r="I37" s="83"/>
      <x:c r="J37" s="83"/>
      <x:c r="K37" s="83"/>
      <x:c r="L37" s="83"/>
      <x:c r="M37" s="83"/>
      <x:c r="N37" s="83"/>
      <x:c r="O37" s="83"/>
      <x:c r="P37" s="83"/>
      <x:c r="Q37" s="83"/>
      <x:c r="R37" s="83"/>
      <x:c r="S37" s="83"/>
      <x:c r="T37" s="83"/>
      <x:c r="U37" s="83"/>
      <x:c r="V37" s="83"/>
      <x:c r="W37" s="83"/>
      <x:c r="X37" s="83"/>
      <x:c r="Y37" s="83"/>
      <x:c r="Z37" s="83"/>
      <x:c r="AA37" s="83"/>
      <x:c r="AB37" s="83"/>
      <x:c r="AC37" s="83"/>
      <x:c r="AD37" s="83"/>
      <x:c r="AE37" s="83"/>
      <x:c r="AF37" s="83"/>
      <x:c r="AG37" s="83"/>
      <x:c r="AH37" s="83"/>
      <x:c r="AI37" s="83"/>
      <x:c r="AJ37" s="83"/>
      <x:c r="AK37" s="83"/>
      <x:c r="AL37" s="83"/>
      <x:c r="AM37" s="83"/>
      <x:c r="AN37" s="83"/>
      <x:c r="AO37" s="83"/>
      <x:c r="AP37" s="83"/>
      <x:c r="AQ37" s="83"/>
      <x:c r="AR37" s="83"/>
      <x:c r="AS37" s="83"/>
      <x:c r="AT37" s="83"/>
      <x:c r="AU37" s="83"/>
      <x:c r="AV37" s="83"/>
      <x:c r="AW37" s="83"/>
      <x:c r="AX37" s="83"/>
      <x:c r="AY37" s="83"/>
      <x:c r="AZ37" s="83"/>
      <x:c r="BA37" s="83"/>
      <x:c r="BB37" s="83"/>
      <x:c r="BC37" s="83"/>
      <x:c r="BD37" s="83"/>
      <x:c r="BE37" s="83"/>
      <x:c r="BF37" s="83"/>
      <x:c r="BG37" s="83"/>
      <x:c r="BH37" s="83"/>
      <x:c r="BI37" s="83"/>
      <x:c r="BJ37" s="83"/>
      <x:c r="BK37" s="83"/>
      <x:c r="BL37" s="83"/>
      <x:c r="BM37" s="83"/>
      <x:c r="BN37" s="83"/>
    </x:row>
    <x:row r="38" ht="18" customHeight="1">
      <x:c r="A38" s="83"/>
      <x:c r="B38" s="83"/>
      <x:c r="C38" s="116"/>
      <x:c r="D38" s="116"/>
      <x:c r="E38" s="116"/>
      <x:c r="F38" s="116"/>
      <x:c r="G38" s="116"/>
      <x:c r="H38" s="116"/>
      <x:c r="I38" s="116"/>
      <x:c r="J38" s="116"/>
      <x:c r="K38" s="116"/>
      <x:c r="L38" s="116"/>
      <x:c r="M38" s="116"/>
      <x:c r="N38" s="116"/>
      <x:c r="O38" s="116"/>
      <x:c r="P38" s="116"/>
      <x:c r="Q38" s="83"/>
      <x:c r="R38" s="148"/>
      <x:c r="S38" s="149"/>
      <x:c r="T38" s="149"/>
      <x:c r="U38" s="149"/>
      <x:c r="V38" s="149"/>
      <x:c r="W38" s="149"/>
      <x:c r="X38" s="149"/>
      <x:c r="Y38" s="149"/>
      <x:c r="Z38" s="149"/>
      <x:c r="AA38" s="149"/>
      <x:c r="AB38" s="149"/>
      <x:c r="AC38" s="149"/>
      <x:c r="AD38" s="149"/>
      <x:c r="AE38" s="149"/>
      <x:c r="AF38" s="150"/>
      <x:c r="AG38" s="83"/>
      <x:c r="AH38" s="148"/>
      <x:c r="AI38" s="149"/>
      <x:c r="AJ38" s="149"/>
      <x:c r="AK38" s="149"/>
      <x:c r="AL38" s="149"/>
      <x:c r="AM38" s="149"/>
      <x:c r="AN38" s="149"/>
      <x:c r="AO38" s="149"/>
      <x:c r="AP38" s="149"/>
      <x:c r="AQ38" s="149"/>
      <x:c r="AR38" s="149"/>
      <x:c r="AS38" s="149"/>
      <x:c r="AT38" s="149"/>
      <x:c r="AU38" s="149"/>
      <x:c r="AV38" s="150"/>
      <x:c r="AW38" s="83"/>
      <x:c r="AX38" s="148"/>
      <x:c r="AY38" s="149"/>
      <x:c r="AZ38" s="149"/>
      <x:c r="BA38" s="149"/>
      <x:c r="BB38" s="149"/>
      <x:c r="BC38" s="149"/>
      <x:c r="BD38" s="149"/>
      <x:c r="BE38" s="149"/>
      <x:c r="BF38" s="149"/>
      <x:c r="BG38" s="149"/>
      <x:c r="BH38" s="149"/>
      <x:c r="BI38" s="149"/>
      <x:c r="BJ38" s="149"/>
      <x:c r="BK38" s="149"/>
      <x:c r="BL38" s="150"/>
      <x:c r="BM38" s="83"/>
      <x:c r="BN38" s="83"/>
    </x:row>
    <x:row r="39" ht="18" customHeight="1">
      <x:c r="A39" s="83"/>
      <x:c r="B39" s="83"/>
      <x:c r="C39" s="116"/>
      <x:c r="D39" s="116"/>
      <x:c r="E39" s="119" t="str">
        <x:v>Virtual design</x:v>
      </x:c>
      <x:c r="F39" s="119"/>
      <x:c r="G39" s="119"/>
      <x:c r="H39" s="119"/>
      <x:c r="I39" s="119"/>
      <x:c r="J39" s="119"/>
      <x:c r="K39" s="119"/>
      <x:c r="L39" s="119"/>
      <x:c r="M39" s="119"/>
      <x:c r="N39" s="119"/>
      <x:c r="O39" s="116"/>
      <x:c r="P39" s="116"/>
      <x:c r="Q39" s="83"/>
      <x:c r="R39" s="151"/>
      <x:c r="S39" s="88"/>
      <x:c r="T39" s="88"/>
      <x:c r="U39" s="156" t="str">
        <x:v>Molecular construction</x:v>
      </x:c>
      <x:c r="V39" s="156"/>
      <x:c r="W39" s="156"/>
      <x:c r="X39" s="156"/>
      <x:c r="Y39" s="156"/>
      <x:c r="Z39" s="156"/>
      <x:c r="AA39" s="156"/>
      <x:c r="AB39" s="156"/>
      <x:c r="AC39" s="156"/>
      <x:c r="AD39" s="156"/>
      <x:c r="AE39" s="156"/>
      <x:c r="AF39" s="152"/>
      <x:c r="AG39" s="83"/>
      <x:c r="AH39" s="151"/>
      <x:c r="AI39" s="88"/>
      <x:c r="AJ39" s="88"/>
      <x:c r="AK39" s="156" t="str">
        <x:v>Protein &amp; functional assays</x:v>
      </x:c>
      <x:c r="AL39" s="156"/>
      <x:c r="AM39" s="156"/>
      <x:c r="AN39" s="156"/>
      <x:c r="AO39" s="156"/>
      <x:c r="AP39" s="156"/>
      <x:c r="AQ39" s="156"/>
      <x:c r="AR39" s="156"/>
      <x:c r="AS39" s="156"/>
      <x:c r="AT39" s="156"/>
      <x:c r="AU39" s="156"/>
      <x:c r="AV39" s="152"/>
      <x:c r="AW39" s="83"/>
      <x:c r="AX39" s="151"/>
      <x:c r="AY39" s="88"/>
      <x:c r="AZ39" s="88"/>
      <x:c r="BA39" s="156" t="str">
        <x:v>Cells &amp; culture systems</x:v>
      </x:c>
      <x:c r="BB39" s="156"/>
      <x:c r="BC39" s="156"/>
      <x:c r="BD39" s="156"/>
      <x:c r="BE39" s="156"/>
      <x:c r="BF39" s="156"/>
      <x:c r="BG39" s="156"/>
      <x:c r="BH39" s="156"/>
      <x:c r="BI39" s="156"/>
      <x:c r="BJ39" s="156"/>
      <x:c r="BK39" s="156"/>
      <x:c r="BL39" s="152"/>
      <x:c r="BM39" s="83"/>
      <x:c r="BN39" s="83"/>
    </x:row>
    <x:row r="40" ht="18" customHeight="1">
      <x:c r="A40" s="83"/>
      <x:c r="B40" s="83"/>
      <x:c r="C40" s="116"/>
      <x:c r="D40" s="116"/>
      <x:c r="E40" s="123" t="str">
        <x:v>AI-enabled</x:v>
      </x:c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16"/>
      <x:c r="P40" s="116"/>
      <x:c r="Q40" s="83"/>
      <x:c r="R40" s="151"/>
      <x:c r="S40" s="88"/>
      <x:c r="T40" s="88"/>
      <x:c r="U40" s="156"/>
      <x:c r="V40" s="156"/>
      <x:c r="W40" s="156"/>
      <x:c r="X40" s="156"/>
      <x:c r="Y40" s="156"/>
      <x:c r="Z40" s="156"/>
      <x:c r="AA40" s="156"/>
      <x:c r="AB40" s="156"/>
      <x:c r="AC40" s="156"/>
      <x:c r="AD40" s="156"/>
      <x:c r="AE40" s="156"/>
      <x:c r="AF40" s="152"/>
      <x:c r="AG40" s="83"/>
      <x:c r="AH40" s="151"/>
      <x:c r="AI40" s="88"/>
      <x:c r="AJ40" s="88"/>
      <x:c r="AK40" s="156"/>
      <x:c r="AL40" s="156"/>
      <x:c r="AM40" s="156"/>
      <x:c r="AN40" s="156"/>
      <x:c r="AO40" s="156"/>
      <x:c r="AP40" s="156"/>
      <x:c r="AQ40" s="156"/>
      <x:c r="AR40" s="156"/>
      <x:c r="AS40" s="156"/>
      <x:c r="AT40" s="156"/>
      <x:c r="AU40" s="156"/>
      <x:c r="AV40" s="152"/>
      <x:c r="AW40" s="83"/>
      <x:c r="AX40" s="151"/>
      <x:c r="AY40" s="88"/>
      <x:c r="AZ40" s="88"/>
      <x:c r="BA40" s="156"/>
      <x:c r="BB40" s="156"/>
      <x:c r="BC40" s="156"/>
      <x:c r="BD40" s="156"/>
      <x:c r="BE40" s="156"/>
      <x:c r="BF40" s="156"/>
      <x:c r="BG40" s="156"/>
      <x:c r="BH40" s="156"/>
      <x:c r="BI40" s="156"/>
      <x:c r="BJ40" s="156"/>
      <x:c r="BK40" s="156"/>
      <x:c r="BL40" s="152"/>
      <x:c r="BM40" s="83"/>
      <x:c r="BN40" s="83"/>
    </x:row>
    <x:row r="41" ht="18" customHeight="1">
      <x:c r="A41" s="83"/>
      <x:c r="B41" s="83"/>
      <x:c r="C41" s="83"/>
      <x:c r="D41" s="116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16"/>
      <x:c r="P41" s="83"/>
      <x:c r="Q41" s="83"/>
      <x:c r="R41" s="151"/>
      <x:c r="S41" s="157" t="str">
        <x:v>DNA / RNA, enzymes, chemical building blocks</x:v>
      </x:c>
      <x:c r="T41" s="157"/>
      <x:c r="U41" s="157"/>
      <x:c r="V41" s="157"/>
      <x:c r="W41" s="157"/>
      <x:c r="X41" s="157"/>
      <x:c r="Y41" s="157"/>
      <x:c r="Z41" s="157"/>
      <x:c r="AA41" s="157"/>
      <x:c r="AB41" s="157"/>
      <x:c r="AC41" s="157"/>
      <x:c r="AD41" s="157"/>
      <x:c r="AE41" s="157"/>
      <x:c r="AF41" s="152"/>
      <x:c r="AG41" s="83"/>
      <x:c r="AH41" s="151"/>
      <x:c r="AI41" s="157" t="str">
        <x:v>Target proteins, antibodies, sensors and assay reagents</x:v>
      </x:c>
      <x:c r="AJ41" s="157"/>
      <x:c r="AK41" s="157"/>
      <x:c r="AL41" s="157"/>
      <x:c r="AM41" s="157"/>
      <x:c r="AN41" s="157"/>
      <x:c r="AO41" s="157"/>
      <x:c r="AP41" s="157"/>
      <x:c r="AQ41" s="157"/>
      <x:c r="AR41" s="157"/>
      <x:c r="AS41" s="157"/>
      <x:c r="AT41" s="157"/>
      <x:c r="AU41" s="157"/>
      <x:c r="AV41" s="152"/>
      <x:c r="AW41" s="83"/>
      <x:c r="AX41" s="151"/>
      <x:c r="AY41" s="157" t="str">
        <x:v>Cell models, media, feeds and transfection</x:v>
      </x:c>
      <x:c r="AZ41" s="157"/>
      <x:c r="BA41" s="157"/>
      <x:c r="BB41" s="157"/>
      <x:c r="BC41" s="157"/>
      <x:c r="BD41" s="157"/>
      <x:c r="BE41" s="157"/>
      <x:c r="BF41" s="157"/>
      <x:c r="BG41" s="157"/>
      <x:c r="BH41" s="157"/>
      <x:c r="BI41" s="157"/>
      <x:c r="BJ41" s="157"/>
      <x:c r="BK41" s="157"/>
      <x:c r="BL41" s="152"/>
      <x:c r="BM41" s="83"/>
      <x:c r="BN41" s="83"/>
    </x:row>
    <x:row r="42" ht="18" customHeight="1">
      <x:c r="A42" s="83"/>
      <x:c r="B42" s="83"/>
      <x:c r="C42" s="83"/>
      <x:c r="D42" s="116"/>
      <x:c r="E42" s="126" t="str">
        <x:v>Quality + selection</x:v>
      </x:c>
      <x:c r="F42" s="126"/>
      <x:c r="G42" s="126"/>
      <x:c r="H42" s="126"/>
      <x:c r="I42" s="126"/>
      <x:c r="J42" s="126"/>
      <x:c r="K42" s="126"/>
      <x:c r="L42" s="126"/>
      <x:c r="M42" s="126"/>
      <x:c r="N42" s="126"/>
      <x:c r="O42" s="116"/>
      <x:c r="P42" s="83"/>
      <x:c r="Q42" s="83"/>
      <x:c r="R42" s="151"/>
      <x:c r="S42" s="157"/>
      <x:c r="T42" s="157"/>
      <x:c r="U42" s="157"/>
      <x:c r="V42" s="157"/>
      <x:c r="W42" s="157"/>
      <x:c r="X42" s="157"/>
      <x:c r="Y42" s="157"/>
      <x:c r="Z42" s="157"/>
      <x:c r="AA42" s="157"/>
      <x:c r="AB42" s="157"/>
      <x:c r="AC42" s="157"/>
      <x:c r="AD42" s="157"/>
      <x:c r="AE42" s="157"/>
      <x:c r="AF42" s="152"/>
      <x:c r="AG42" s="83"/>
      <x:c r="AH42" s="151"/>
      <x:c r="AI42" s="157"/>
      <x:c r="AJ42" s="157"/>
      <x:c r="AK42" s="157"/>
      <x:c r="AL42" s="157"/>
      <x:c r="AM42" s="157"/>
      <x:c r="AN42" s="157"/>
      <x:c r="AO42" s="157"/>
      <x:c r="AP42" s="157"/>
      <x:c r="AQ42" s="157"/>
      <x:c r="AR42" s="157"/>
      <x:c r="AS42" s="157"/>
      <x:c r="AT42" s="157"/>
      <x:c r="AU42" s="157"/>
      <x:c r="AV42" s="152"/>
      <x:c r="AW42" s="83"/>
      <x:c r="AX42" s="151"/>
      <x:c r="AY42" s="157"/>
      <x:c r="AZ42" s="157"/>
      <x:c r="BA42" s="157"/>
      <x:c r="BB42" s="157"/>
      <x:c r="BC42" s="157"/>
      <x:c r="BD42" s="157"/>
      <x:c r="BE42" s="157"/>
      <x:c r="BF42" s="157"/>
      <x:c r="BG42" s="157"/>
      <x:c r="BH42" s="157"/>
      <x:c r="BI42" s="157"/>
      <x:c r="BJ42" s="157"/>
      <x:c r="BK42" s="157"/>
      <x:c r="BL42" s="152"/>
      <x:c r="BM42" s="83"/>
      <x:c r="BN42" s="83"/>
    </x:row>
    <x:row r="43" ht="18" customHeight="1">
      <x:c r="A43" s="83"/>
      <x:c r="B43" s="83"/>
      <x:c r="C43" s="83"/>
      <x:c r="D43" s="116"/>
      <x:c r="E43" s="116"/>
      <x:c r="F43" s="116"/>
      <x:c r="G43" s="116"/>
      <x:c r="H43" s="116"/>
      <x:c r="I43" s="116"/>
      <x:c r="J43" s="116"/>
      <x:c r="K43" s="116"/>
      <x:c r="L43" s="116"/>
      <x:c r="M43" s="116"/>
      <x:c r="N43" s="116"/>
      <x:c r="O43" s="116"/>
      <x:c r="P43" s="83"/>
      <x:c r="Q43" s="83"/>
      <x:c r="R43" s="151"/>
      <x:c r="S43" s="160" t="n">
        <x:f>'Calculations'!L45</x:f>
        <x:v>2.0807822709371044</x:v>
      </x:c>
      <x:c r="T43" s="160"/>
      <x:c r="U43" s="160"/>
      <x:c r="V43" s="160"/>
      <x:c r="W43" s="160"/>
      <x:c r="X43" s="160"/>
      <x:c r="Y43" s="160"/>
      <x:c r="Z43" s="160"/>
      <x:c r="AA43" s="160"/>
      <x:c r="AB43" s="160"/>
      <x:c r="AC43" s="160"/>
      <x:c r="AD43" s="160"/>
      <x:c r="AE43" s="160"/>
      <x:c r="AF43" s="152"/>
      <x:c r="AG43" s="83"/>
      <x:c r="AH43" s="151"/>
      <x:c r="AI43" s="160" t="n">
        <x:f>'Calculations'!L46</x:f>
        <x:v>2.1810922121687724</x:v>
      </x:c>
      <x:c r="AJ43" s="160"/>
      <x:c r="AK43" s="160"/>
      <x:c r="AL43" s="160"/>
      <x:c r="AM43" s="160"/>
      <x:c r="AN43" s="160"/>
      <x:c r="AO43" s="160"/>
      <x:c r="AP43" s="160"/>
      <x:c r="AQ43" s="160"/>
      <x:c r="AR43" s="160"/>
      <x:c r="AS43" s="160"/>
      <x:c r="AT43" s="160"/>
      <x:c r="AU43" s="160"/>
      <x:c r="AV43" s="152"/>
      <x:c r="AW43" s="83"/>
      <x:c r="AX43" s="151"/>
      <x:c r="AY43" s="160" t="n">
        <x:f>'Calculations'!L47</x:f>
        <x:v>2.5491367917685914</x:v>
      </x:c>
      <x:c r="AZ43" s="160"/>
      <x:c r="BA43" s="160"/>
      <x:c r="BB43" s="160"/>
      <x:c r="BC43" s="160"/>
      <x:c r="BD43" s="160"/>
      <x:c r="BE43" s="160"/>
      <x:c r="BF43" s="160"/>
      <x:c r="BG43" s="160"/>
      <x:c r="BH43" s="160"/>
      <x:c r="BI43" s="160"/>
      <x:c r="BJ43" s="160"/>
      <x:c r="BK43" s="160"/>
      <x:c r="BL43" s="152"/>
      <x:c r="BM43" s="83"/>
      <x:c r="BN43" s="83"/>
    </x:row>
    <x:row r="44" ht="18" customHeight="1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83"/>
      <x:c r="R44" s="151"/>
      <x:c r="S44" s="160"/>
      <x:c r="T44" s="160"/>
      <x:c r="U44" s="160"/>
      <x:c r="V44" s="160"/>
      <x:c r="W44" s="160"/>
      <x:c r="X44" s="160"/>
      <x:c r="Y44" s="160"/>
      <x:c r="Z44" s="160"/>
      <x:c r="AA44" s="160"/>
      <x:c r="AB44" s="160"/>
      <x:c r="AC44" s="160"/>
      <x:c r="AD44" s="160"/>
      <x:c r="AE44" s="160"/>
      <x:c r="AF44" s="152"/>
      <x:c r="AG44" s="83"/>
      <x:c r="AH44" s="151"/>
      <x:c r="AI44" s="160"/>
      <x:c r="AJ44" s="160"/>
      <x:c r="AK44" s="160"/>
      <x:c r="AL44" s="160"/>
      <x:c r="AM44" s="160"/>
      <x:c r="AN44" s="160"/>
      <x:c r="AO44" s="160"/>
      <x:c r="AP44" s="160"/>
      <x:c r="AQ44" s="160"/>
      <x:c r="AR44" s="160"/>
      <x:c r="AS44" s="160"/>
      <x:c r="AT44" s="160"/>
      <x:c r="AU44" s="160"/>
      <x:c r="AV44" s="152"/>
      <x:c r="AW44" s="83"/>
      <x:c r="AX44" s="151"/>
      <x:c r="AY44" s="160"/>
      <x:c r="AZ44" s="160"/>
      <x:c r="BA44" s="160"/>
      <x:c r="BB44" s="160"/>
      <x:c r="BC44" s="160"/>
      <x:c r="BD44" s="160"/>
      <x:c r="BE44" s="160"/>
      <x:c r="BF44" s="160"/>
      <x:c r="BG44" s="160"/>
      <x:c r="BH44" s="160"/>
      <x:c r="BI44" s="160"/>
      <x:c r="BJ44" s="160"/>
      <x:c r="BK44" s="160"/>
      <x:c r="BL44" s="152"/>
      <x:c r="BM44" s="83"/>
      <x:c r="BN44" s="83"/>
    </x:row>
    <x:row r="45" ht="18" customHeight="1">
      <x:c r="A45" s="83"/>
      <x:c r="B45" s="83"/>
      <x:c r="C45" s="83"/>
      <x:c r="D45" s="127"/>
      <x:c r="E45" s="127"/>
      <x:c r="F45" s="127"/>
      <x:c r="G45" s="127"/>
      <x:c r="H45" s="127"/>
      <x:c r="I45" s="127"/>
      <x:c r="J45" s="127"/>
      <x:c r="K45" s="127"/>
      <x:c r="L45" s="127"/>
      <x:c r="M45" s="127"/>
      <x:c r="N45" s="127"/>
      <x:c r="O45" s="127"/>
      <x:c r="P45" s="83"/>
      <x:c r="Q45" s="83"/>
      <x:c r="R45" s="151"/>
      <x:c r="S45" s="160"/>
      <x:c r="T45" s="160"/>
      <x:c r="U45" s="160"/>
      <x:c r="V45" s="160"/>
      <x:c r="W45" s="160"/>
      <x:c r="X45" s="160"/>
      <x:c r="Y45" s="160"/>
      <x:c r="Z45" s="160"/>
      <x:c r="AA45" s="160"/>
      <x:c r="AB45" s="160"/>
      <x:c r="AC45" s="160"/>
      <x:c r="AD45" s="160"/>
      <x:c r="AE45" s="160"/>
      <x:c r="AF45" s="152"/>
      <x:c r="AG45" s="83"/>
      <x:c r="AH45" s="151"/>
      <x:c r="AI45" s="160"/>
      <x:c r="AJ45" s="160"/>
      <x:c r="AK45" s="160"/>
      <x:c r="AL45" s="160"/>
      <x:c r="AM45" s="160"/>
      <x:c r="AN45" s="160"/>
      <x:c r="AO45" s="160"/>
      <x:c r="AP45" s="160"/>
      <x:c r="AQ45" s="160"/>
      <x:c r="AR45" s="160"/>
      <x:c r="AS45" s="160"/>
      <x:c r="AT45" s="160"/>
      <x:c r="AU45" s="160"/>
      <x:c r="AV45" s="152"/>
      <x:c r="AW45" s="83"/>
      <x:c r="AX45" s="151"/>
      <x:c r="AY45" s="160"/>
      <x:c r="AZ45" s="160"/>
      <x:c r="BA45" s="160"/>
      <x:c r="BB45" s="160"/>
      <x:c r="BC45" s="160"/>
      <x:c r="BD45" s="160"/>
      <x:c r="BE45" s="160"/>
      <x:c r="BF45" s="160"/>
      <x:c r="BG45" s="160"/>
      <x:c r="BH45" s="160"/>
      <x:c r="BI45" s="160"/>
      <x:c r="BJ45" s="160"/>
      <x:c r="BK45" s="160"/>
      <x:c r="BL45" s="152"/>
      <x:c r="BM45" s="83"/>
      <x:c r="BN45" s="83"/>
    </x:row>
    <x:row r="46" ht="18" customHeight="1">
      <x:c r="A46" s="83"/>
      <x:c r="B46" s="83"/>
      <x:c r="C46" s="83"/>
      <x:c r="D46" s="127"/>
      <x:c r="E46" s="127"/>
      <x:c r="F46" s="130" t="str">
        <x:v>BUILD · samples</x:v>
      </x:c>
      <x:c r="G46" s="130"/>
      <x:c r="H46" s="130"/>
      <x:c r="I46" s="130"/>
      <x:c r="J46" s="130"/>
      <x:c r="K46" s="130"/>
      <x:c r="L46" s="130"/>
      <x:c r="M46" s="130"/>
      <x:c r="N46" s="127"/>
      <x:c r="O46" s="127"/>
      <x:c r="P46" s="83"/>
      <x:c r="Q46" s="83"/>
      <x:c r="R46" s="151"/>
      <x:c r="S46" s="162" t="str">
        <x:v>AI-LAB PURCHASES · 1× BASELINE</x:v>
      </x:c>
      <x:c r="T46" s="162"/>
      <x:c r="U46" s="162"/>
      <x:c r="V46" s="162"/>
      <x:c r="W46" s="162"/>
      <x:c r="X46" s="162"/>
      <x:c r="Y46" s="162"/>
      <x:c r="Z46" s="162"/>
      <x:c r="AA46" s="162"/>
      <x:c r="AB46" s="162"/>
      <x:c r="AC46" s="162"/>
      <x:c r="AD46" s="162"/>
      <x:c r="AE46" s="162"/>
      <x:c r="AF46" s="152"/>
      <x:c r="AG46" s="83"/>
      <x:c r="AH46" s="151"/>
      <x:c r="AI46" s="162" t="str">
        <x:v>AI-LAB PURCHASES · 1× BASELINE</x:v>
      </x:c>
      <x:c r="AJ46" s="162"/>
      <x:c r="AK46" s="162"/>
      <x:c r="AL46" s="162"/>
      <x:c r="AM46" s="162"/>
      <x:c r="AN46" s="162"/>
      <x:c r="AO46" s="162"/>
      <x:c r="AP46" s="162"/>
      <x:c r="AQ46" s="162"/>
      <x:c r="AR46" s="162"/>
      <x:c r="AS46" s="162"/>
      <x:c r="AT46" s="162"/>
      <x:c r="AU46" s="162"/>
      <x:c r="AV46" s="152"/>
      <x:c r="AW46" s="83"/>
      <x:c r="AX46" s="151"/>
      <x:c r="AY46" s="162" t="str">
        <x:v>AI-LAB PURCHASES · 1× BASELINE</x:v>
      </x:c>
      <x:c r="AZ46" s="162"/>
      <x:c r="BA46" s="162"/>
      <x:c r="BB46" s="162"/>
      <x:c r="BC46" s="162"/>
      <x:c r="BD46" s="162"/>
      <x:c r="BE46" s="162"/>
      <x:c r="BF46" s="162"/>
      <x:c r="BG46" s="162"/>
      <x:c r="BH46" s="162"/>
      <x:c r="BI46" s="162"/>
      <x:c r="BJ46" s="162"/>
      <x:c r="BK46" s="162"/>
      <x:c r="BL46" s="152"/>
      <x:c r="BM46" s="83"/>
      <x:c r="BN46" s="83"/>
    </x:row>
    <x:row r="47" ht="18" customHeight="1">
      <x:c r="A47" s="83"/>
      <x:c r="B47" s="83"/>
      <x:c r="C47" s="83"/>
      <x:c r="D47" s="127"/>
      <x:c r="E47" s="127"/>
      <x:c r="F47" s="134" t="n">
        <x:f>'Calculations'!D34</x:f>
        <x:v>2.5618749999999997</x:v>
      </x:c>
      <x:c r="G47" s="134"/>
      <x:c r="H47" s="134"/>
      <x:c r="I47" s="134"/>
      <x:c r="J47" s="134"/>
      <x:c r="K47" s="134"/>
      <x:c r="L47" s="134"/>
      <x:c r="M47" s="134"/>
      <x:c r="N47" s="127"/>
      <x:c r="O47" s="127"/>
      <x:c r="P47" s="83"/>
      <x:c r="Q47" s="83"/>
      <x:c r="R47" s="151"/>
      <x:c r="S47" s="88"/>
      <x:c r="T47" s="88"/>
      <x:c r="U47" s="88"/>
      <x:c r="V47" s="88"/>
      <x:c r="W47" s="88"/>
      <x:c r="X47" s="88"/>
      <x:c r="Y47" s="88"/>
      <x:c r="Z47" s="88"/>
      <x:c r="AA47" s="88"/>
      <x:c r="AB47" s="88"/>
      <x:c r="AC47" s="88"/>
      <x:c r="AD47" s="88"/>
      <x:c r="AE47" s="88"/>
      <x:c r="AF47" s="152"/>
      <x:c r="AG47" s="83"/>
      <x:c r="AH47" s="151"/>
      <x:c r="AI47" s="88"/>
      <x:c r="AJ47" s="88"/>
      <x:c r="AK47" s="88"/>
      <x:c r="AL47" s="88"/>
      <x:c r="AM47" s="88"/>
      <x:c r="AN47" s="88"/>
      <x:c r="AO47" s="88"/>
      <x:c r="AP47" s="88"/>
      <x:c r="AQ47" s="88"/>
      <x:c r="AR47" s="88"/>
      <x:c r="AS47" s="88"/>
      <x:c r="AT47" s="88"/>
      <x:c r="AU47" s="88"/>
      <x:c r="AV47" s="152"/>
      <x:c r="AW47" s="83"/>
      <x:c r="AX47" s="151"/>
      <x:c r="AY47" s="88"/>
      <x:c r="AZ47" s="88"/>
      <x:c r="BA47" s="88"/>
      <x:c r="BB47" s="88"/>
      <x:c r="BC47" s="88"/>
      <x:c r="BD47" s="88"/>
      <x:c r="BE47" s="88"/>
      <x:c r="BF47" s="88"/>
      <x:c r="BG47" s="88"/>
      <x:c r="BH47" s="88"/>
      <x:c r="BI47" s="88"/>
      <x:c r="BJ47" s="88"/>
      <x:c r="BK47" s="88"/>
      <x:c r="BL47" s="152"/>
      <x:c r="BM47" s="83"/>
      <x:c r="BN47" s="83"/>
    </x:row>
    <x:row r="48" ht="18" customHeight="1">
      <x:c r="A48" s="83"/>
      <x:c r="B48" s="83"/>
      <x:c r="C48" s="83"/>
      <x:c r="D48" s="127"/>
      <x:c r="E48" s="127"/>
      <x:c r="F48" s="134"/>
      <x:c r="G48" s="134"/>
      <x:c r="H48" s="134"/>
      <x:c r="I48" s="134"/>
      <x:c r="J48" s="134"/>
      <x:c r="K48" s="134"/>
      <x:c r="L48" s="134"/>
      <x:c r="M48" s="134"/>
      <x:c r="N48" s="127"/>
      <x:c r="O48" s="127"/>
      <x:c r="P48" s="83"/>
      <x:c r="Q48" s="83"/>
      <x:c r="R48" s="151"/>
      <x:c r="S48" s="164" t="str">
        <x:v>Estimated whole-family uplift</x:v>
      </x:c>
      <x:c r="T48" s="164"/>
      <x:c r="U48" s="164"/>
      <x:c r="V48" s="164"/>
      <x:c r="W48" s="164"/>
      <x:c r="X48" s="164"/>
      <x:c r="Y48" s="164"/>
      <x:c r="Z48" s="164"/>
      <x:c r="AA48" s="164"/>
      <x:c r="AB48" s="168" t="n">
        <x:f>'Calculations'!M45-1</x:f>
        <x:v>0.12969387251245257</x:v>
      </x:c>
      <x:c r="AC48" s="168"/>
      <x:c r="AD48" s="168"/>
      <x:c r="AE48" s="168"/>
      <x:c r="AF48" s="152"/>
      <x:c r="AG48" s="83"/>
      <x:c r="AH48" s="151"/>
      <x:c r="AI48" s="164" t="str">
        <x:v>Estimated whole-family uplift</x:v>
      </x:c>
      <x:c r="AJ48" s="164"/>
      <x:c r="AK48" s="164"/>
      <x:c r="AL48" s="164"/>
      <x:c r="AM48" s="164"/>
      <x:c r="AN48" s="164"/>
      <x:c r="AO48" s="164"/>
      <x:c r="AP48" s="164"/>
      <x:c r="AQ48" s="164"/>
      <x:c r="AR48" s="168" t="n">
        <x:f>'Calculations'!M46-1</x:f>
        <x:v>0.15747896162250297</x:v>
      </x:c>
      <x:c r="AS48" s="168"/>
      <x:c r="AT48" s="168"/>
      <x:c r="AU48" s="168"/>
      <x:c r="AV48" s="152"/>
      <x:c r="AW48" s="83"/>
      <x:c r="AX48" s="151"/>
      <x:c r="AY48" s="164" t="str">
        <x:v>Estimated whole-family uplift</x:v>
      </x:c>
      <x:c r="AZ48" s="164"/>
      <x:c r="BA48" s="164"/>
      <x:c r="BB48" s="164"/>
      <x:c r="BC48" s="164"/>
      <x:c r="BD48" s="164"/>
      <x:c r="BE48" s="164"/>
      <x:c r="BF48" s="164"/>
      <x:c r="BG48" s="164"/>
      <x:c r="BH48" s="168" t="n">
        <x:f>'Calculations'!M47-1</x:f>
        <x:v>0.24269809737707937</x:v>
      </x:c>
      <x:c r="BI48" s="168"/>
      <x:c r="BJ48" s="168"/>
      <x:c r="BK48" s="168"/>
      <x:c r="BL48" s="152"/>
      <x:c r="BM48" s="83"/>
      <x:c r="BN48" s="83"/>
    </x:row>
    <x:row r="49" ht="18" customHeight="1">
      <x:c r="A49" s="83"/>
      <x:c r="B49" s="83"/>
      <x:c r="C49" s="83"/>
      <x:c r="D49" s="83"/>
      <x:c r="E49" s="127"/>
      <x:c r="F49" s="127"/>
      <x:c r="G49" s="127"/>
      <x:c r="H49" s="127"/>
      <x:c r="I49" s="127"/>
      <x:c r="J49" s="127"/>
      <x:c r="K49" s="127"/>
      <x:c r="L49" s="127"/>
      <x:c r="M49" s="127"/>
      <x:c r="N49" s="127"/>
      <x:c r="O49" s="83"/>
      <x:c r="P49" s="83"/>
      <x:c r="Q49" s="83"/>
      <x:c r="R49" s="151"/>
      <x:c r="S49" s="164"/>
      <x:c r="T49" s="164"/>
      <x:c r="U49" s="164"/>
      <x:c r="V49" s="164"/>
      <x:c r="W49" s="164"/>
      <x:c r="X49" s="164"/>
      <x:c r="Y49" s="164"/>
      <x:c r="Z49" s="164"/>
      <x:c r="AA49" s="164"/>
      <x:c r="AB49" s="168"/>
      <x:c r="AC49" s="168"/>
      <x:c r="AD49" s="168"/>
      <x:c r="AE49" s="168"/>
      <x:c r="AF49" s="152"/>
      <x:c r="AG49" s="83"/>
      <x:c r="AH49" s="151"/>
      <x:c r="AI49" s="164"/>
      <x:c r="AJ49" s="164"/>
      <x:c r="AK49" s="164"/>
      <x:c r="AL49" s="164"/>
      <x:c r="AM49" s="164"/>
      <x:c r="AN49" s="164"/>
      <x:c r="AO49" s="164"/>
      <x:c r="AP49" s="164"/>
      <x:c r="AQ49" s="164"/>
      <x:c r="AR49" s="168"/>
      <x:c r="AS49" s="168"/>
      <x:c r="AT49" s="168"/>
      <x:c r="AU49" s="168"/>
      <x:c r="AV49" s="152"/>
      <x:c r="AW49" s="83"/>
      <x:c r="AX49" s="151"/>
      <x:c r="AY49" s="164"/>
      <x:c r="AZ49" s="164"/>
      <x:c r="BA49" s="164"/>
      <x:c r="BB49" s="164"/>
      <x:c r="BC49" s="164"/>
      <x:c r="BD49" s="164"/>
      <x:c r="BE49" s="164"/>
      <x:c r="BF49" s="164"/>
      <x:c r="BG49" s="164"/>
      <x:c r="BH49" s="168"/>
      <x:c r="BI49" s="168"/>
      <x:c r="BJ49" s="168"/>
      <x:c r="BK49" s="168"/>
      <x:c r="BL49" s="152"/>
      <x:c r="BM49" s="83"/>
      <x:c r="BN49" s="83"/>
    </x:row>
    <x:row r="50" ht="18" customHeight="1">
      <x:c r="A50" s="83"/>
      <x:c r="B50" s="83"/>
      <x:c r="C50" s="83"/>
      <x:c r="D50" s="83"/>
      <x:c r="E50" s="127"/>
      <x:c r="F50" s="127"/>
      <x:c r="G50" s="127"/>
      <x:c r="H50" s="127"/>
      <x:c r="I50" s="127"/>
      <x:c r="J50" s="127"/>
      <x:c r="K50" s="127"/>
      <x:c r="L50" s="127"/>
      <x:c r="M50" s="127"/>
      <x:c r="N50" s="127"/>
      <x:c r="O50" s="83"/>
      <x:c r="P50" s="83"/>
      <x:c r="Q50" s="83"/>
      <x:c r="R50" s="151"/>
      <x:c r="S50" s="162" t="str">
        <x:f>"Assumed AI exposure "&amp;TEXT('Calculations'!G45,"0.0%")</x:f>
        <x:v>Assumed AI exposure 12.0%</x:v>
      </x:c>
      <x:c r="T50" s="162"/>
      <x:c r="U50" s="162"/>
      <x:c r="V50" s="162"/>
      <x:c r="W50" s="162"/>
      <x:c r="X50" s="162"/>
      <x:c r="Y50" s="162"/>
      <x:c r="Z50" s="162"/>
      <x:c r="AA50" s="162"/>
      <x:c r="AB50" s="162"/>
      <x:c r="AC50" s="162"/>
      <x:c r="AD50" s="162"/>
      <x:c r="AE50" s="162"/>
      <x:c r="AF50" s="152"/>
      <x:c r="AG50" s="83"/>
      <x:c r="AH50" s="151"/>
      <x:c r="AI50" s="162" t="str">
        <x:f>"Assumed AI exposure "&amp;TEXT('Calculations'!G46,"0.0%")</x:f>
        <x:v>Assumed AI exposure 13.3%</x:v>
      </x:c>
      <x:c r="AJ50" s="162"/>
      <x:c r="AK50" s="162"/>
      <x:c r="AL50" s="162"/>
      <x:c r="AM50" s="162"/>
      <x:c r="AN50" s="162"/>
      <x:c r="AO50" s="162"/>
      <x:c r="AP50" s="162"/>
      <x:c r="AQ50" s="162"/>
      <x:c r="AR50" s="162"/>
      <x:c r="AS50" s="162"/>
      <x:c r="AT50" s="162"/>
      <x:c r="AU50" s="162"/>
      <x:c r="AV50" s="152"/>
      <x:c r="AW50" s="83"/>
      <x:c r="AX50" s="151"/>
      <x:c r="AY50" s="162" t="str">
        <x:f>"Assumed AI exposure "&amp;TEXT('Calculations'!G47,"0.0%")</x:f>
        <x:v>Assumed AI exposure 15.7%</x:v>
      </x:c>
      <x:c r="AZ50" s="162"/>
      <x:c r="BA50" s="162"/>
      <x:c r="BB50" s="162"/>
      <x:c r="BC50" s="162"/>
      <x:c r="BD50" s="162"/>
      <x:c r="BE50" s="162"/>
      <x:c r="BF50" s="162"/>
      <x:c r="BG50" s="162"/>
      <x:c r="BH50" s="162"/>
      <x:c r="BI50" s="162"/>
      <x:c r="BJ50" s="162"/>
      <x:c r="BK50" s="162"/>
      <x:c r="BL50" s="152"/>
      <x:c r="BM50" s="83"/>
      <x:c r="BN50" s="83"/>
    </x:row>
    <x:row r="51" ht="18" customHeight="1">
      <x:c r="A51" s="83"/>
      <x:c r="B51" s="83"/>
      <x:c r="C51" s="83"/>
      <x:c r="D51" s="83"/>
      <x:c r="E51" s="127"/>
      <x:c r="F51" s="137" t="str">
        <x:v>Physical construction</x:v>
      </x:c>
      <x:c r="G51" s="137"/>
      <x:c r="H51" s="137"/>
      <x:c r="I51" s="137"/>
      <x:c r="J51" s="137"/>
      <x:c r="K51" s="137"/>
      <x:c r="L51" s="137"/>
      <x:c r="M51" s="137"/>
      <x:c r="N51" s="127"/>
      <x:c r="O51" s="83"/>
      <x:c r="P51" s="83"/>
      <x:c r="Q51" s="83"/>
      <x:c r="R51" s="151"/>
      <x:c r="S51" s="88"/>
      <x:c r="T51" s="88"/>
      <x:c r="U51" s="88"/>
      <x:c r="V51" s="88"/>
      <x:c r="W51" s="88"/>
      <x:c r="X51" s="88"/>
      <x:c r="Y51" s="88"/>
      <x:c r="Z51" s="88"/>
      <x:c r="AA51" s="88"/>
      <x:c r="AB51" s="88"/>
      <x:c r="AC51" s="88"/>
      <x:c r="AD51" s="88"/>
      <x:c r="AE51" s="88"/>
      <x:c r="AF51" s="152"/>
      <x:c r="AG51" s="83"/>
      <x:c r="AH51" s="151"/>
      <x:c r="AI51" s="88"/>
      <x:c r="AJ51" s="88"/>
      <x:c r="AK51" s="88"/>
      <x:c r="AL51" s="88"/>
      <x:c r="AM51" s="88"/>
      <x:c r="AN51" s="88"/>
      <x:c r="AO51" s="88"/>
      <x:c r="AP51" s="88"/>
      <x:c r="AQ51" s="88"/>
      <x:c r="AR51" s="88"/>
      <x:c r="AS51" s="88"/>
      <x:c r="AT51" s="88"/>
      <x:c r="AU51" s="88"/>
      <x:c r="AV51" s="152"/>
      <x:c r="AW51" s="83"/>
      <x:c r="AX51" s="151"/>
      <x:c r="AY51" s="88"/>
      <x:c r="AZ51" s="88"/>
      <x:c r="BA51" s="88"/>
      <x:c r="BB51" s="88"/>
      <x:c r="BC51" s="88"/>
      <x:c r="BD51" s="88"/>
      <x:c r="BE51" s="88"/>
      <x:c r="BF51" s="88"/>
      <x:c r="BG51" s="88"/>
      <x:c r="BH51" s="88"/>
      <x:c r="BI51" s="88"/>
      <x:c r="BJ51" s="88"/>
      <x:c r="BK51" s="88"/>
      <x:c r="BL51" s="152"/>
      <x:c r="BM51" s="83"/>
      <x:c r="BN51" s="83"/>
    </x:row>
    <x:row r="52" ht="18" customHeight="1">
      <x:c r="A52" s="83"/>
      <x:c r="B52" s="83"/>
      <x:c r="C52" s="83"/>
      <x:c r="D52" s="83"/>
      <x:c r="E52" s="127"/>
      <x:c r="F52" s="127"/>
      <x:c r="G52" s="127"/>
      <x:c r="H52" s="127"/>
      <x:c r="I52" s="127"/>
      <x:c r="J52" s="127"/>
      <x:c r="K52" s="127"/>
      <x:c r="L52" s="127"/>
      <x:c r="M52" s="127"/>
      <x:c r="N52" s="127"/>
      <x:c r="O52" s="83"/>
      <x:c r="P52" s="83"/>
      <x:c r="Q52" s="83"/>
      <x:c r="R52" s="151"/>
      <x:c r="S52" s="88"/>
      <x:c r="T52" s="88"/>
      <x:c r="U52" s="88"/>
      <x:c r="V52" s="88"/>
      <x:c r="W52" s="88"/>
      <x:c r="X52" s="88"/>
      <x:c r="Y52" s="88"/>
      <x:c r="Z52" s="88"/>
      <x:c r="AA52" s="88"/>
      <x:c r="AB52" s="88"/>
      <x:c r="AC52" s="88"/>
      <x:c r="AD52" s="88"/>
      <x:c r="AE52" s="88"/>
      <x:c r="AF52" s="152"/>
      <x:c r="AG52" s="83"/>
      <x:c r="AH52" s="151"/>
      <x:c r="AI52" s="88"/>
      <x:c r="AJ52" s="88"/>
      <x:c r="AK52" s="88"/>
      <x:c r="AL52" s="88"/>
      <x:c r="AM52" s="88"/>
      <x:c r="AN52" s="88"/>
      <x:c r="AO52" s="88"/>
      <x:c r="AP52" s="88"/>
      <x:c r="AQ52" s="88"/>
      <x:c r="AR52" s="88"/>
      <x:c r="AS52" s="88"/>
      <x:c r="AT52" s="88"/>
      <x:c r="AU52" s="88"/>
      <x:c r="AV52" s="152"/>
      <x:c r="AW52" s="83"/>
      <x:c r="AX52" s="151"/>
      <x:c r="AY52" s="177" t="str">
        <x:v>Gibco / HyClone</x:v>
      </x:c>
      <x:c r="AZ52" s="177"/>
      <x:c r="BA52" s="177"/>
      <x:c r="BB52" s="177"/>
      <x:c r="BC52" s="177"/>
      <x:c r="BD52" s="177"/>
      <x:c r="BE52" s="177"/>
      <x:c r="BF52" s="177"/>
      <x:c r="BG52" s="177"/>
      <x:c r="BH52" s="177"/>
      <x:c r="BI52" s="177"/>
      <x:c r="BJ52" s="177"/>
      <x:c r="BK52" s="177"/>
      <x:c r="BL52" s="152"/>
      <x:c r="BM52" s="83"/>
      <x:c r="BN52" s="83"/>
    </x:row>
    <x:row r="53" ht="18" customHeight="1">
      <x:c r="A53" s="83"/>
      <x:c r="B53" s="83"/>
      <x:c r="C53" s="83"/>
      <x:c r="D53" s="83"/>
      <x:c r="E53" s="83"/>
      <x:c r="F53" s="83"/>
      <x:c r="G53" s="83"/>
      <x:c r="H53" s="83"/>
      <x:c r="I53" s="83"/>
      <x:c r="J53" s="83"/>
      <x:c r="K53" s="83"/>
      <x:c r="L53" s="83"/>
      <x:c r="M53" s="83"/>
      <x:c r="N53" s="83"/>
      <x:c r="O53" s="83"/>
      <x:c r="P53" s="83"/>
      <x:c r="Q53" s="83"/>
      <x:c r="R53" s="151"/>
      <x:c r="S53" s="107"/>
      <x:c r="T53" s="107"/>
      <x:c r="U53" s="107"/>
      <x:c r="V53" s="107"/>
      <x:c r="W53" s="107"/>
      <x:c r="X53" s="107"/>
      <x:c r="Y53" s="107"/>
      <x:c r="Z53" s="107"/>
      <x:c r="AA53" s="107"/>
      <x:c r="AB53" s="107"/>
      <x:c r="AC53" s="107"/>
      <x:c r="AD53" s="107"/>
      <x:c r="AE53" s="107"/>
      <x:c r="AF53" s="152"/>
      <x:c r="AG53" s="83"/>
      <x:c r="AH53" s="151"/>
      <x:c r="AI53" s="107"/>
      <x:c r="AJ53" s="107"/>
      <x:c r="AK53" s="107"/>
      <x:c r="AL53" s="107"/>
      <x:c r="AM53" s="107"/>
      <x:c r="AN53" s="107"/>
      <x:c r="AO53" s="107"/>
      <x:c r="AP53" s="107"/>
      <x:c r="AQ53" s="107"/>
      <x:c r="AR53" s="107"/>
      <x:c r="AS53" s="107"/>
      <x:c r="AT53" s="107"/>
      <x:c r="AU53" s="107"/>
      <x:c r="AV53" s="152"/>
      <x:c r="AW53" s="83"/>
      <x:c r="AX53" s="151"/>
      <x:c r="AY53" s="107"/>
      <x:c r="AZ53" s="107"/>
      <x:c r="BA53" s="107"/>
      <x:c r="BB53" s="107"/>
      <x:c r="BC53" s="107"/>
      <x:c r="BD53" s="107"/>
      <x:c r="BE53" s="107"/>
      <x:c r="BF53" s="107"/>
      <x:c r="BG53" s="107"/>
      <x:c r="BH53" s="107"/>
      <x:c r="BI53" s="107"/>
      <x:c r="BJ53" s="107"/>
      <x:c r="BK53" s="107"/>
      <x:c r="BL53" s="152"/>
      <x:c r="BM53" s="83"/>
      <x:c r="BN53" s="83"/>
    </x:row>
    <x:row r="54" ht="18" customHeight="1">
      <x:c r="A54" s="83"/>
      <x:c r="B54" s="83"/>
      <x:c r="C54" s="83"/>
      <x:c r="D54" s="83"/>
      <x:c r="E54" s="116"/>
      <x:c r="F54" s="116"/>
      <x:c r="G54" s="116"/>
      <x:c r="H54" s="116"/>
      <x:c r="I54" s="116"/>
      <x:c r="J54" s="116"/>
      <x:c r="K54" s="116"/>
      <x:c r="L54" s="116"/>
      <x:c r="M54" s="116"/>
      <x:c r="N54" s="116"/>
      <x:c r="O54" s="83"/>
      <x:c r="P54" s="83"/>
      <x:c r="Q54" s="83"/>
      <x:c r="R54" s="151"/>
      <x:c r="S54" s="170" t="str">
        <x:v>CHINA / HK LISTINGS</x:v>
      </x:c>
      <x:c r="T54" s="170"/>
      <x:c r="U54" s="170"/>
      <x:c r="V54" s="170"/>
      <x:c r="W54" s="170"/>
      <x:c r="X54" s="170"/>
      <x:c r="Y54" s="170"/>
      <x:c r="Z54" s="170"/>
      <x:c r="AA54" s="170"/>
      <x:c r="AB54" s="170"/>
      <x:c r="AC54" s="170"/>
      <x:c r="AD54" s="170"/>
      <x:c r="AE54" s="170"/>
      <x:c r="AF54" s="152"/>
      <x:c r="AG54" s="83"/>
      <x:c r="AH54" s="151"/>
      <x:c r="AI54" s="170" t="str">
        <x:v>CHINA / HK LISTINGS</x:v>
      </x:c>
      <x:c r="AJ54" s="170"/>
      <x:c r="AK54" s="170"/>
      <x:c r="AL54" s="170"/>
      <x:c r="AM54" s="170"/>
      <x:c r="AN54" s="170"/>
      <x:c r="AO54" s="170"/>
      <x:c r="AP54" s="170"/>
      <x:c r="AQ54" s="170"/>
      <x:c r="AR54" s="170"/>
      <x:c r="AS54" s="170"/>
      <x:c r="AT54" s="170"/>
      <x:c r="AU54" s="170"/>
      <x:c r="AV54" s="152"/>
      <x:c r="AW54" s="83"/>
      <x:c r="AX54" s="151"/>
      <x:c r="AY54" s="170" t="str">
        <x:v>CHINA / HK LISTINGS</x:v>
      </x:c>
      <x:c r="AZ54" s="170"/>
      <x:c r="BA54" s="170"/>
      <x:c r="BB54" s="170"/>
      <x:c r="BC54" s="170"/>
      <x:c r="BD54" s="170"/>
      <x:c r="BE54" s="170"/>
      <x:c r="BF54" s="170"/>
      <x:c r="BG54" s="170"/>
      <x:c r="BH54" s="170"/>
      <x:c r="BI54" s="170"/>
      <x:c r="BJ54" s="170"/>
      <x:c r="BK54" s="170"/>
      <x:c r="BL54" s="152"/>
      <x:c r="BM54" s="83"/>
      <x:c r="BN54" s="83"/>
    </x:row>
    <x:row r="55" ht="18" customHeight="1">
      <x:c r="A55" s="83"/>
      <x:c r="B55" s="83"/>
      <x:c r="C55" s="83"/>
      <x:c r="D55" s="83"/>
      <x:c r="E55" s="116"/>
      <x:c r="F55" s="116"/>
      <x:c r="G55" s="119" t="str">
        <x:v>TEST · assays</x:v>
      </x:c>
      <x:c r="H55" s="119"/>
      <x:c r="I55" s="119"/>
      <x:c r="J55" s="119"/>
      <x:c r="K55" s="119"/>
      <x:c r="L55" s="119"/>
      <x:c r="M55" s="116"/>
      <x:c r="N55" s="116"/>
      <x:c r="O55" s="83"/>
      <x:c r="P55" s="83"/>
      <x:c r="Q55" s="83"/>
      <x:c r="R55" s="151"/>
      <x:c r="S55" s="172" t="str">
        <x:v>GenScript · 1548.HK   |   Vazyme · 688105.SH</x:v>
      </x:c>
      <x:c r="T55" s="172"/>
      <x:c r="U55" s="172"/>
      <x:c r="V55" s="172"/>
      <x:c r="W55" s="172"/>
      <x:c r="X55" s="172"/>
      <x:c r="Y55" s="172"/>
      <x:c r="Z55" s="172"/>
      <x:c r="AA55" s="172"/>
      <x:c r="AB55" s="172"/>
      <x:c r="AC55" s="172"/>
      <x:c r="AD55" s="172"/>
      <x:c r="AE55" s="172"/>
      <x:c r="AF55" s="152"/>
      <x:c r="AG55" s="83"/>
      <x:c r="AH55" s="151"/>
      <x:c r="AI55" s="172" t="str">
        <x:v>ACRO · 301080.SZ   |   Sino · 301047.SZ</x:v>
      </x:c>
      <x:c r="AJ55" s="172"/>
      <x:c r="AK55" s="172"/>
      <x:c r="AL55" s="172"/>
      <x:c r="AM55" s="172"/>
      <x:c r="AN55" s="172"/>
      <x:c r="AO55" s="172"/>
      <x:c r="AP55" s="172"/>
      <x:c r="AQ55" s="172"/>
      <x:c r="AR55" s="172"/>
      <x:c r="AS55" s="172"/>
      <x:c r="AT55" s="172"/>
      <x:c r="AU55" s="172"/>
      <x:c r="AV55" s="152"/>
      <x:c r="AW55" s="83"/>
      <x:c r="AX55" s="151"/>
      <x:c r="AY55" s="172" t="str">
        <x:v>OPM · 688293.SH   |   ACRO · 301080.SZ</x:v>
      </x:c>
      <x:c r="AZ55" s="172"/>
      <x:c r="BA55" s="172"/>
      <x:c r="BB55" s="172"/>
      <x:c r="BC55" s="172"/>
      <x:c r="BD55" s="172"/>
      <x:c r="BE55" s="172"/>
      <x:c r="BF55" s="172"/>
      <x:c r="BG55" s="172"/>
      <x:c r="BH55" s="172"/>
      <x:c r="BI55" s="172"/>
      <x:c r="BJ55" s="172"/>
      <x:c r="BK55" s="172"/>
      <x:c r="BL55" s="152"/>
      <x:c r="BM55" s="83"/>
      <x:c r="BN55" s="83"/>
    </x:row>
    <x:row r="56" ht="18" customHeight="1">
      <x:c r="A56" s="83"/>
      <x:c r="B56" s="83"/>
      <x:c r="C56" s="83"/>
      <x:c r="D56" s="83"/>
      <x:c r="E56" s="116"/>
      <x:c r="F56" s="116"/>
      <x:c r="G56" s="123" t="n">
        <x:f>'Calculations'!E34</x:f>
        <x:v>2.7403750000000002</x:v>
      </x:c>
      <x:c r="H56" s="123"/>
      <x:c r="I56" s="123"/>
      <x:c r="J56" s="123"/>
      <x:c r="K56" s="123"/>
      <x:c r="L56" s="123"/>
      <x:c r="M56" s="116"/>
      <x:c r="N56" s="116"/>
      <x:c r="O56" s="83"/>
      <x:c r="P56" s="83"/>
      <x:c r="Q56" s="83"/>
      <x:c r="R56" s="151"/>
      <x:c r="S56" s="170" t="str">
        <x:v>US LISTINGS / PARENTS</x:v>
      </x:c>
      <x:c r="T56" s="170"/>
      <x:c r="U56" s="170"/>
      <x:c r="V56" s="170"/>
      <x:c r="W56" s="170"/>
      <x:c r="X56" s="170"/>
      <x:c r="Y56" s="170"/>
      <x:c r="Z56" s="170"/>
      <x:c r="AA56" s="170"/>
      <x:c r="AB56" s="170"/>
      <x:c r="AC56" s="170"/>
      <x:c r="AD56" s="170"/>
      <x:c r="AE56" s="170"/>
      <x:c r="AF56" s="152"/>
      <x:c r="AG56" s="83"/>
      <x:c r="AH56" s="151"/>
      <x:c r="AI56" s="170" t="str">
        <x:v>US LISTINGS / PARENTS</x:v>
      </x:c>
      <x:c r="AJ56" s="170"/>
      <x:c r="AK56" s="170"/>
      <x:c r="AL56" s="170"/>
      <x:c r="AM56" s="170"/>
      <x:c r="AN56" s="170"/>
      <x:c r="AO56" s="170"/>
      <x:c r="AP56" s="170"/>
      <x:c r="AQ56" s="170"/>
      <x:c r="AR56" s="170"/>
      <x:c r="AS56" s="170"/>
      <x:c r="AT56" s="170"/>
      <x:c r="AU56" s="170"/>
      <x:c r="AV56" s="152"/>
      <x:c r="AW56" s="83"/>
      <x:c r="AX56" s="151"/>
      <x:c r="AY56" s="170" t="str">
        <x:v>US LISTINGS / PARENTS</x:v>
      </x:c>
      <x:c r="AZ56" s="170"/>
      <x:c r="BA56" s="170"/>
      <x:c r="BB56" s="170"/>
      <x:c r="BC56" s="170"/>
      <x:c r="BD56" s="170"/>
      <x:c r="BE56" s="170"/>
      <x:c r="BF56" s="170"/>
      <x:c r="BG56" s="170"/>
      <x:c r="BH56" s="170"/>
      <x:c r="BI56" s="170"/>
      <x:c r="BJ56" s="170"/>
      <x:c r="BK56" s="170"/>
      <x:c r="BL56" s="152"/>
      <x:c r="BM56" s="83"/>
      <x:c r="BN56" s="83"/>
    </x:row>
    <x:row r="57" ht="18" customHeight="1">
      <x:c r="A57" s="83"/>
      <x:c r="B57" s="83"/>
      <x:c r="C57" s="83"/>
      <x:c r="D57" s="83"/>
      <x:c r="E57" s="116"/>
      <x:c r="F57" s="116"/>
      <x:c r="G57" s="123"/>
      <x:c r="H57" s="123"/>
      <x:c r="I57" s="123"/>
      <x:c r="J57" s="123"/>
      <x:c r="K57" s="123"/>
      <x:c r="L57" s="123"/>
      <x:c r="M57" s="116"/>
      <x:c r="N57" s="116"/>
      <x:c r="O57" s="83"/>
      <x:c r="P57" s="83"/>
      <x:c r="Q57" s="83"/>
      <x:c r="R57" s="151"/>
      <x:c r="S57" s="174" t="str">
        <x:v>Twist · TWST   |   Thermo Fisher · TMO</x:v>
      </x:c>
      <x:c r="T57" s="174"/>
      <x:c r="U57" s="174"/>
      <x:c r="V57" s="174"/>
      <x:c r="W57" s="174"/>
      <x:c r="X57" s="174"/>
      <x:c r="Y57" s="174"/>
      <x:c r="Z57" s="174"/>
      <x:c r="AA57" s="174"/>
      <x:c r="AB57" s="174"/>
      <x:c r="AC57" s="174"/>
      <x:c r="AD57" s="174"/>
      <x:c r="AE57" s="174"/>
      <x:c r="AF57" s="152"/>
      <x:c r="AG57" s="83"/>
      <x:c r="AH57" s="151"/>
      <x:c r="AI57" s="174" t="str">
        <x:v>Bio-Techne · TECH   |   Thermo Fisher · TMO</x:v>
      </x:c>
      <x:c r="AJ57" s="174"/>
      <x:c r="AK57" s="174"/>
      <x:c r="AL57" s="174"/>
      <x:c r="AM57" s="174"/>
      <x:c r="AN57" s="174"/>
      <x:c r="AO57" s="174"/>
      <x:c r="AP57" s="174"/>
      <x:c r="AQ57" s="174"/>
      <x:c r="AR57" s="174"/>
      <x:c r="AS57" s="174"/>
      <x:c r="AT57" s="174"/>
      <x:c r="AU57" s="174"/>
      <x:c r="AV57" s="152"/>
      <x:c r="AW57" s="83"/>
      <x:c r="AX57" s="151"/>
      <x:c r="AY57" s="174" t="str">
        <x:v>Gibco / Thermo · TMO   |   HyClone / Danaher · DHR</x:v>
      </x:c>
      <x:c r="AZ57" s="174"/>
      <x:c r="BA57" s="174"/>
      <x:c r="BB57" s="174"/>
      <x:c r="BC57" s="174"/>
      <x:c r="BD57" s="174"/>
      <x:c r="BE57" s="174"/>
      <x:c r="BF57" s="174"/>
      <x:c r="BG57" s="174"/>
      <x:c r="BH57" s="174"/>
      <x:c r="BI57" s="174"/>
      <x:c r="BJ57" s="174"/>
      <x:c r="BK57" s="174"/>
      <x:c r="BL57" s="152"/>
      <x:c r="BM57" s="83"/>
      <x:c r="BN57" s="83"/>
    </x:row>
    <x:row r="58" ht="18" customHeight="1">
      <x:c r="A58" s="83"/>
      <x:c r="B58" s="83"/>
      <x:c r="C58" s="83"/>
      <x:c r="D58" s="83"/>
      <x:c r="E58" s="83"/>
      <x:c r="F58" s="116"/>
      <x:c r="G58" s="116"/>
      <x:c r="H58" s="116"/>
      <x:c r="I58" s="116"/>
      <x:c r="J58" s="116"/>
      <x:c r="K58" s="116"/>
      <x:c r="L58" s="116"/>
      <x:c r="M58" s="116"/>
      <x:c r="N58" s="83"/>
      <x:c r="O58" s="83"/>
      <x:c r="P58" s="83"/>
      <x:c r="Q58" s="83"/>
      <x:c r="R58" s="153"/>
      <x:c r="S58" s="175"/>
      <x:c r="T58" s="175"/>
      <x:c r="U58" s="175"/>
      <x:c r="V58" s="175"/>
      <x:c r="W58" s="175"/>
      <x:c r="X58" s="175"/>
      <x:c r="Y58" s="175"/>
      <x:c r="Z58" s="175"/>
      <x:c r="AA58" s="175"/>
      <x:c r="AB58" s="175"/>
      <x:c r="AC58" s="175"/>
      <x:c r="AD58" s="175"/>
      <x:c r="AE58" s="175"/>
      <x:c r="AF58" s="154"/>
      <x:c r="AG58" s="83"/>
      <x:c r="AH58" s="153"/>
      <x:c r="AI58" s="175"/>
      <x:c r="AJ58" s="175"/>
      <x:c r="AK58" s="175"/>
      <x:c r="AL58" s="175"/>
      <x:c r="AM58" s="175"/>
      <x:c r="AN58" s="175"/>
      <x:c r="AO58" s="175"/>
      <x:c r="AP58" s="175"/>
      <x:c r="AQ58" s="175"/>
      <x:c r="AR58" s="175"/>
      <x:c r="AS58" s="175"/>
      <x:c r="AT58" s="175"/>
      <x:c r="AU58" s="175"/>
      <x:c r="AV58" s="154"/>
      <x:c r="AW58" s="83"/>
      <x:c r="AX58" s="153"/>
      <x:c r="AY58" s="175"/>
      <x:c r="AZ58" s="175"/>
      <x:c r="BA58" s="175"/>
      <x:c r="BB58" s="175"/>
      <x:c r="BC58" s="175"/>
      <x:c r="BD58" s="175"/>
      <x:c r="BE58" s="175"/>
      <x:c r="BF58" s="175"/>
      <x:c r="BG58" s="175"/>
      <x:c r="BH58" s="175"/>
      <x:c r="BI58" s="175"/>
      <x:c r="BJ58" s="175"/>
      <x:c r="BK58" s="175"/>
      <x:c r="BL58" s="154"/>
      <x:c r="BM58" s="83"/>
      <x:c r="BN58" s="83"/>
    </x:row>
    <x:row r="59" ht="18" customHeight="1">
      <x:c r="A59" s="83"/>
      <x:c r="B59" s="83"/>
      <x:c r="C59" s="83"/>
      <x:c r="D59" s="83"/>
      <x:c r="E59" s="83"/>
      <x:c r="F59" s="116"/>
      <x:c r="G59" s="116"/>
      <x:c r="H59" s="116"/>
      <x:c r="I59" s="116"/>
      <x:c r="J59" s="116"/>
      <x:c r="K59" s="116"/>
      <x:c r="L59" s="116"/>
      <x:c r="M59" s="116"/>
      <x:c r="N59" s="83"/>
      <x:c r="O59" s="83"/>
      <x:c r="P59" s="83"/>
      <x:c r="Q59" s="83"/>
      <x:c r="R59" s="83"/>
      <x:c r="S59" s="83"/>
      <x:c r="T59" s="83"/>
      <x:c r="U59" s="83"/>
      <x:c r="V59" s="83"/>
      <x:c r="W59" s="83"/>
      <x:c r="X59" s="83"/>
      <x:c r="Y59" s="83"/>
      <x:c r="Z59" s="83"/>
      <x:c r="AA59" s="83"/>
      <x:c r="AB59" s="83"/>
      <x:c r="AC59" s="83"/>
      <x:c r="AD59" s="83"/>
      <x:c r="AE59" s="83"/>
      <x:c r="AF59" s="83"/>
      <x:c r="AG59" s="83"/>
      <x:c r="AH59" s="83"/>
      <x:c r="AI59" s="83"/>
      <x:c r="AJ59" s="83"/>
      <x:c r="AK59" s="83"/>
      <x:c r="AL59" s="83"/>
      <x:c r="AM59" s="83"/>
      <x:c r="AN59" s="83"/>
      <x:c r="AO59" s="83"/>
      <x:c r="AP59" s="83"/>
      <x:c r="AQ59" s="83"/>
      <x:c r="AR59" s="83"/>
      <x:c r="AS59" s="83"/>
      <x:c r="AT59" s="83"/>
      <x:c r="AU59" s="83"/>
      <x:c r="AV59" s="83"/>
      <x:c r="AW59" s="83"/>
      <x:c r="AX59" s="83"/>
      <x:c r="AY59" s="83"/>
      <x:c r="AZ59" s="83"/>
      <x:c r="BA59" s="83"/>
      <x:c r="BB59" s="83"/>
      <x:c r="BC59" s="83"/>
      <x:c r="BD59" s="83"/>
      <x:c r="BE59" s="83"/>
      <x:c r="BF59" s="83"/>
      <x:c r="BG59" s="83"/>
      <x:c r="BH59" s="83"/>
      <x:c r="BI59" s="83"/>
      <x:c r="BJ59" s="83"/>
      <x:c r="BK59" s="83"/>
      <x:c r="BL59" s="83"/>
      <x:c r="BM59" s="83"/>
      <x:c r="BN59" s="83"/>
    </x:row>
    <x:row r="60" ht="18" customHeight="1">
      <x:c r="A60" s="83"/>
      <x:c r="B60" s="83"/>
      <x:c r="C60" s="83"/>
      <x:c r="D60" s="83"/>
      <x:c r="E60" s="83"/>
      <x:c r="F60" s="116"/>
      <x:c r="G60" s="126" t="str">
        <x:v>Biological validation</x:v>
      </x:c>
      <x:c r="H60" s="126"/>
      <x:c r="I60" s="126"/>
      <x:c r="J60" s="126"/>
      <x:c r="K60" s="126"/>
      <x:c r="L60" s="126"/>
      <x:c r="M60" s="116"/>
      <x:c r="N60" s="83"/>
      <x:c r="O60" s="83"/>
      <x:c r="P60" s="83"/>
      <x:c r="Q60" s="83"/>
      <x:c r="R60" s="83"/>
      <x:c r="S60" s="83"/>
      <x:c r="T60" s="83"/>
      <x:c r="U60" s="83"/>
      <x:c r="V60" s="83"/>
      <x:c r="W60" s="83"/>
      <x:c r="X60" s="83"/>
      <x:c r="Y60" s="83"/>
      <x:c r="Z60" s="83"/>
      <x:c r="AA60" s="83"/>
      <x:c r="AB60" s="83"/>
      <x:c r="AC60" s="83"/>
      <x:c r="AD60" s="83"/>
      <x:c r="AE60" s="83"/>
      <x:c r="AF60" s="83"/>
      <x:c r="AG60" s="83"/>
      <x:c r="AH60" s="83"/>
      <x:c r="AI60" s="83"/>
      <x:c r="AJ60" s="83"/>
      <x:c r="AK60" s="83"/>
      <x:c r="AL60" s="83"/>
      <x:c r="AM60" s="83"/>
      <x:c r="AN60" s="83"/>
      <x:c r="AO60" s="83"/>
      <x:c r="AP60" s="83"/>
      <x:c r="AQ60" s="83"/>
      <x:c r="AR60" s="83"/>
      <x:c r="AS60" s="83"/>
      <x:c r="AT60" s="83"/>
      <x:c r="AU60" s="83"/>
      <x:c r="AV60" s="83"/>
      <x:c r="AW60" s="83"/>
      <x:c r="AX60" s="83"/>
      <x:c r="AY60" s="83"/>
      <x:c r="AZ60" s="83"/>
      <x:c r="BA60" s="83"/>
      <x:c r="BB60" s="83"/>
      <x:c r="BC60" s="83"/>
      <x:c r="BD60" s="83"/>
      <x:c r="BE60" s="83"/>
      <x:c r="BF60" s="83"/>
      <x:c r="BG60" s="83"/>
      <x:c r="BH60" s="83"/>
      <x:c r="BI60" s="83"/>
      <x:c r="BJ60" s="83"/>
      <x:c r="BK60" s="83"/>
      <x:c r="BL60" s="83"/>
      <x:c r="BM60" s="83"/>
      <x:c r="BN60" s="83"/>
    </x:row>
    <x:row r="61" ht="18" customHeight="1">
      <x:c r="A61" s="83"/>
      <x:c r="B61" s="83"/>
      <x:c r="C61" s="83"/>
      <x:c r="D61" s="83"/>
      <x:c r="E61" s="83"/>
      <x:c r="F61" s="116"/>
      <x:c r="G61" s="116"/>
      <x:c r="H61" s="116"/>
      <x:c r="I61" s="116"/>
      <x:c r="J61" s="116"/>
      <x:c r="K61" s="116"/>
      <x:c r="L61" s="116"/>
      <x:c r="M61" s="116"/>
      <x:c r="N61" s="83"/>
      <x:c r="O61" s="83"/>
      <x:c r="P61" s="83"/>
      <x:c r="Q61" s="83"/>
      <x:c r="R61" s="148"/>
      <x:c r="S61" s="149"/>
      <x:c r="T61" s="149"/>
      <x:c r="U61" s="149"/>
      <x:c r="V61" s="149"/>
      <x:c r="W61" s="149"/>
      <x:c r="X61" s="149"/>
      <x:c r="Y61" s="149"/>
      <x:c r="Z61" s="149"/>
      <x:c r="AA61" s="149"/>
      <x:c r="AB61" s="149"/>
      <x:c r="AC61" s="149"/>
      <x:c r="AD61" s="149"/>
      <x:c r="AE61" s="149"/>
      <x:c r="AF61" s="150"/>
      <x:c r="AG61" s="83"/>
      <x:c r="AH61" s="148"/>
      <x:c r="AI61" s="149"/>
      <x:c r="AJ61" s="149"/>
      <x:c r="AK61" s="149"/>
      <x:c r="AL61" s="149"/>
      <x:c r="AM61" s="149"/>
      <x:c r="AN61" s="149"/>
      <x:c r="AO61" s="149"/>
      <x:c r="AP61" s="149"/>
      <x:c r="AQ61" s="149"/>
      <x:c r="AR61" s="149"/>
      <x:c r="AS61" s="149"/>
      <x:c r="AT61" s="149"/>
      <x:c r="AU61" s="149"/>
      <x:c r="AV61" s="150"/>
      <x:c r="AW61" s="83"/>
      <x:c r="AX61" s="148"/>
      <x:c r="AY61" s="149"/>
      <x:c r="AZ61" s="149"/>
      <x:c r="BA61" s="149"/>
      <x:c r="BB61" s="149"/>
      <x:c r="BC61" s="149"/>
      <x:c r="BD61" s="149"/>
      <x:c r="BE61" s="149"/>
      <x:c r="BF61" s="149"/>
      <x:c r="BG61" s="149"/>
      <x:c r="BH61" s="149"/>
      <x:c r="BI61" s="149"/>
      <x:c r="BJ61" s="149"/>
      <x:c r="BK61" s="149"/>
      <x:c r="BL61" s="150"/>
      <x:c r="BM61" s="83"/>
      <x:c r="BN61" s="83"/>
    </x:row>
    <x:row r="62" ht="18" customHeight="1">
      <x:c r="A62" s="83"/>
      <x:c r="B62" s="83"/>
      <x:c r="C62" s="83"/>
      <x:c r="D62" s="83"/>
      <x:c r="E62" s="83"/>
      <x:c r="F62" s="83"/>
      <x:c r="G62" s="83"/>
      <x:c r="H62" s="83"/>
      <x:c r="I62" s="83"/>
      <x:c r="J62" s="83"/>
      <x:c r="K62" s="83"/>
      <x:c r="L62" s="83"/>
      <x:c r="M62" s="83"/>
      <x:c r="N62" s="83"/>
      <x:c r="O62" s="83"/>
      <x:c r="P62" s="83"/>
      <x:c r="Q62" s="83"/>
      <x:c r="R62" s="151"/>
      <x:c r="S62" s="88"/>
      <x:c r="T62" s="88"/>
      <x:c r="U62" s="156" t="str">
        <x:v>Labware &amp; sample handling</x:v>
      </x:c>
      <x:c r="V62" s="156"/>
      <x:c r="W62" s="156"/>
      <x:c r="X62" s="156"/>
      <x:c r="Y62" s="156"/>
      <x:c r="Z62" s="156"/>
      <x:c r="AA62" s="156"/>
      <x:c r="AB62" s="156"/>
      <x:c r="AC62" s="156"/>
      <x:c r="AD62" s="156"/>
      <x:c r="AE62" s="156"/>
      <x:c r="AF62" s="152"/>
      <x:c r="AG62" s="83"/>
      <x:c r="AH62" s="151"/>
      <x:c r="AI62" s="88"/>
      <x:c r="AJ62" s="88"/>
      <x:c r="AK62" s="156" t="str">
        <x:v>Measurement &amp; analytics</x:v>
      </x:c>
      <x:c r="AL62" s="156"/>
      <x:c r="AM62" s="156"/>
      <x:c r="AN62" s="156"/>
      <x:c r="AO62" s="156"/>
      <x:c r="AP62" s="156"/>
      <x:c r="AQ62" s="156"/>
      <x:c r="AR62" s="156"/>
      <x:c r="AS62" s="156"/>
      <x:c r="AT62" s="156"/>
      <x:c r="AU62" s="156"/>
      <x:c r="AV62" s="152"/>
      <x:c r="AW62" s="83"/>
      <x:c r="AX62" s="151"/>
      <x:c r="AY62" s="88"/>
      <x:c r="AZ62" s="88"/>
      <x:c r="BA62" s="156" t="str">
        <x:v>Purification &amp; scale-up</x:v>
      </x:c>
      <x:c r="BB62" s="156"/>
      <x:c r="BC62" s="156"/>
      <x:c r="BD62" s="156"/>
      <x:c r="BE62" s="156"/>
      <x:c r="BF62" s="156"/>
      <x:c r="BG62" s="156"/>
      <x:c r="BH62" s="156"/>
      <x:c r="BI62" s="156"/>
      <x:c r="BJ62" s="156"/>
      <x:c r="BK62" s="156"/>
      <x:c r="BL62" s="152"/>
      <x:c r="BM62" s="83"/>
      <x:c r="BN62" s="83"/>
    </x:row>
    <x:row r="63" ht="18" customHeight="1">
      <x:c r="A63" s="83"/>
      <x:c r="B63" s="83"/>
      <x:c r="C63" s="83"/>
      <x:c r="D63" s="83"/>
      <x:c r="E63" s="83"/>
      <x:c r="F63" s="88"/>
      <x:c r="G63" s="88"/>
      <x:c r="H63" s="88"/>
      <x:c r="I63" s="88"/>
      <x:c r="J63" s="88"/>
      <x:c r="K63" s="88"/>
      <x:c r="L63" s="88"/>
      <x:c r="M63" s="88"/>
      <x:c r="N63" s="83"/>
      <x:c r="O63" s="83"/>
      <x:c r="P63" s="83"/>
      <x:c r="Q63" s="83"/>
      <x:c r="R63" s="151"/>
      <x:c r="S63" s="88"/>
      <x:c r="T63" s="88"/>
      <x:c r="U63" s="156"/>
      <x:c r="V63" s="156"/>
      <x:c r="W63" s="156"/>
      <x:c r="X63" s="156"/>
      <x:c r="Y63" s="156"/>
      <x:c r="Z63" s="156"/>
      <x:c r="AA63" s="156"/>
      <x:c r="AB63" s="156"/>
      <x:c r="AC63" s="156"/>
      <x:c r="AD63" s="156"/>
      <x:c r="AE63" s="156"/>
      <x:c r="AF63" s="152"/>
      <x:c r="AG63" s="83"/>
      <x:c r="AH63" s="151"/>
      <x:c r="AI63" s="88"/>
      <x:c r="AJ63" s="88"/>
      <x:c r="AK63" s="156"/>
      <x:c r="AL63" s="156"/>
      <x:c r="AM63" s="156"/>
      <x:c r="AN63" s="156"/>
      <x:c r="AO63" s="156"/>
      <x:c r="AP63" s="156"/>
      <x:c r="AQ63" s="156"/>
      <x:c r="AR63" s="156"/>
      <x:c r="AS63" s="156"/>
      <x:c r="AT63" s="156"/>
      <x:c r="AU63" s="156"/>
      <x:c r="AV63" s="152"/>
      <x:c r="AW63" s="83"/>
      <x:c r="AX63" s="151"/>
      <x:c r="AY63" s="88"/>
      <x:c r="AZ63" s="88"/>
      <x:c r="BA63" s="156"/>
      <x:c r="BB63" s="156"/>
      <x:c r="BC63" s="156"/>
      <x:c r="BD63" s="156"/>
      <x:c r="BE63" s="156"/>
      <x:c r="BF63" s="156"/>
      <x:c r="BG63" s="156"/>
      <x:c r="BH63" s="156"/>
      <x:c r="BI63" s="156"/>
      <x:c r="BJ63" s="156"/>
      <x:c r="BK63" s="156"/>
      <x:c r="BL63" s="152"/>
      <x:c r="BM63" s="83"/>
      <x:c r="BN63" s="83"/>
    </x:row>
    <x:row r="64" ht="18" customHeight="1">
      <x:c r="A64" s="83"/>
      <x:c r="B64" s="83"/>
      <x:c r="C64" s="83"/>
      <x:c r="D64" s="83"/>
      <x:c r="E64" s="83"/>
      <x:c r="F64" s="140" t="str">
        <x:v>Clinical entry</x:v>
      </x:c>
      <x:c r="G64" s="140"/>
      <x:c r="H64" s="140"/>
      <x:c r="I64" s="140"/>
      <x:c r="J64" s="140"/>
      <x:c r="K64" s="140"/>
      <x:c r="L64" s="140"/>
      <x:c r="M64" s="140"/>
      <x:c r="N64" s="83"/>
      <x:c r="O64" s="83"/>
      <x:c r="P64" s="83"/>
      <x:c r="Q64" s="83"/>
      <x:c r="R64" s="151"/>
      <x:c r="S64" s="157" t="str">
        <x:v>Plates, tips, tubes, filters and sample preparation</x:v>
      </x:c>
      <x:c r="T64" s="157"/>
      <x:c r="U64" s="157"/>
      <x:c r="V64" s="157"/>
      <x:c r="W64" s="157"/>
      <x:c r="X64" s="157"/>
      <x:c r="Y64" s="157"/>
      <x:c r="Z64" s="157"/>
      <x:c r="AA64" s="157"/>
      <x:c r="AB64" s="157"/>
      <x:c r="AC64" s="157"/>
      <x:c r="AD64" s="157"/>
      <x:c r="AE64" s="157"/>
      <x:c r="AF64" s="152"/>
      <x:c r="AG64" s="83"/>
      <x:c r="AH64" s="151"/>
      <x:c r="AI64" s="157" t="str">
        <x:v>Sequencing, LC / LC-MS, flow, imaging and QC</x:v>
      </x:c>
      <x:c r="AJ64" s="157"/>
      <x:c r="AK64" s="157"/>
      <x:c r="AL64" s="157"/>
      <x:c r="AM64" s="157"/>
      <x:c r="AN64" s="157"/>
      <x:c r="AO64" s="157"/>
      <x:c r="AP64" s="157"/>
      <x:c r="AQ64" s="157"/>
      <x:c r="AR64" s="157"/>
      <x:c r="AS64" s="157"/>
      <x:c r="AT64" s="157"/>
      <x:c r="AU64" s="157"/>
      <x:c r="AV64" s="152"/>
      <x:c r="AW64" s="83"/>
      <x:c r="AX64" s="151"/>
      <x:c r="AY64" s="157" t="str">
        <x:v>Lab purification, analytical columns and process resins</x:v>
      </x:c>
      <x:c r="AZ64" s="157"/>
      <x:c r="BA64" s="157"/>
      <x:c r="BB64" s="157"/>
      <x:c r="BC64" s="157"/>
      <x:c r="BD64" s="157"/>
      <x:c r="BE64" s="157"/>
      <x:c r="BF64" s="157"/>
      <x:c r="BG64" s="157"/>
      <x:c r="BH64" s="157"/>
      <x:c r="BI64" s="157"/>
      <x:c r="BJ64" s="157"/>
      <x:c r="BK64" s="157"/>
      <x:c r="BL64" s="152"/>
      <x:c r="BM64" s="83"/>
      <x:c r="BN64" s="83"/>
    </x:row>
    <x:row r="65" ht="18" customHeight="1">
      <x:c r="A65" s="83"/>
      <x:c r="B65" s="83"/>
      <x:c r="C65" s="83"/>
      <x:c r="D65" s="83"/>
      <x:c r="E65" s="83"/>
      <x:c r="F65" s="142" t="str">
        <x:v>Funded programs</x:v>
      </x:c>
      <x:c r="G65" s="142"/>
      <x:c r="H65" s="142"/>
      <x:c r="I65" s="142"/>
      <x:c r="J65" s="142"/>
      <x:c r="K65" s="142"/>
      <x:c r="L65" s="142"/>
      <x:c r="M65" s="142"/>
      <x:c r="N65" s="83"/>
      <x:c r="O65" s="83"/>
      <x:c r="P65" s="83"/>
      <x:c r="Q65" s="83"/>
      <x:c r="R65" s="151"/>
      <x:c r="S65" s="157"/>
      <x:c r="T65" s="157"/>
      <x:c r="U65" s="157"/>
      <x:c r="V65" s="157"/>
      <x:c r="W65" s="157"/>
      <x:c r="X65" s="157"/>
      <x:c r="Y65" s="157"/>
      <x:c r="Z65" s="157"/>
      <x:c r="AA65" s="157"/>
      <x:c r="AB65" s="157"/>
      <x:c r="AC65" s="157"/>
      <x:c r="AD65" s="157"/>
      <x:c r="AE65" s="157"/>
      <x:c r="AF65" s="152"/>
      <x:c r="AG65" s="83"/>
      <x:c r="AH65" s="151"/>
      <x:c r="AI65" s="157"/>
      <x:c r="AJ65" s="157"/>
      <x:c r="AK65" s="157"/>
      <x:c r="AL65" s="157"/>
      <x:c r="AM65" s="157"/>
      <x:c r="AN65" s="157"/>
      <x:c r="AO65" s="157"/>
      <x:c r="AP65" s="157"/>
      <x:c r="AQ65" s="157"/>
      <x:c r="AR65" s="157"/>
      <x:c r="AS65" s="157"/>
      <x:c r="AT65" s="157"/>
      <x:c r="AU65" s="157"/>
      <x:c r="AV65" s="152"/>
      <x:c r="AW65" s="83"/>
      <x:c r="AX65" s="151"/>
      <x:c r="AY65" s="157"/>
      <x:c r="AZ65" s="157"/>
      <x:c r="BA65" s="157"/>
      <x:c r="BB65" s="157"/>
      <x:c r="BC65" s="157"/>
      <x:c r="BD65" s="157"/>
      <x:c r="BE65" s="157"/>
      <x:c r="BF65" s="157"/>
      <x:c r="BG65" s="157"/>
      <x:c r="BH65" s="157"/>
      <x:c r="BI65" s="157"/>
      <x:c r="BJ65" s="157"/>
      <x:c r="BK65" s="157"/>
      <x:c r="BL65" s="152"/>
      <x:c r="BM65" s="83"/>
      <x:c r="BN65" s="83"/>
    </x:row>
    <x:row r="66" ht="18" customHeight="1">
      <x:c r="A66" s="83"/>
      <x:c r="B66" s="83"/>
      <x:c r="C66" s="83"/>
      <x:c r="D66" s="83"/>
      <x:c r="E66" s="83"/>
      <x:c r="F66" s="142"/>
      <x:c r="G66" s="142"/>
      <x:c r="H66" s="142"/>
      <x:c r="I66" s="142"/>
      <x:c r="J66" s="142"/>
      <x:c r="K66" s="142"/>
      <x:c r="L66" s="142"/>
      <x:c r="M66" s="142"/>
      <x:c r="N66" s="83"/>
      <x:c r="O66" s="83"/>
      <x:c r="P66" s="83"/>
      <x:c r="Q66" s="83"/>
      <x:c r="R66" s="151"/>
      <x:c r="S66" s="160" t="n">
        <x:f>'Calculations'!L48</x:f>
        <x:v>1.4786386784945422</x:v>
      </x:c>
      <x:c r="T66" s="160"/>
      <x:c r="U66" s="160"/>
      <x:c r="V66" s="160"/>
      <x:c r="W66" s="160"/>
      <x:c r="X66" s="160"/>
      <x:c r="Y66" s="160"/>
      <x:c r="Z66" s="160"/>
      <x:c r="AA66" s="160"/>
      <x:c r="AB66" s="160"/>
      <x:c r="AC66" s="160"/>
      <x:c r="AD66" s="160"/>
      <x:c r="AE66" s="160"/>
      <x:c r="AF66" s="152"/>
      <x:c r="AG66" s="83"/>
      <x:c r="AH66" s="151"/>
      <x:c r="AI66" s="160" t="n">
        <x:f>'Calculations'!L49</x:f>
        <x:v>2.402792123035671</x:v>
      </x:c>
      <x:c r="AJ66" s="160"/>
      <x:c r="AK66" s="160"/>
      <x:c r="AL66" s="160"/>
      <x:c r="AM66" s="160"/>
      <x:c r="AN66" s="160"/>
      <x:c r="AO66" s="160"/>
      <x:c r="AP66" s="160"/>
      <x:c r="AQ66" s="160"/>
      <x:c r="AR66" s="160"/>
      <x:c r="AS66" s="160"/>
      <x:c r="AT66" s="160"/>
      <x:c r="AU66" s="160"/>
      <x:c r="AV66" s="152"/>
      <x:c r="AW66" s="83"/>
      <x:c r="AX66" s="151"/>
      <x:c r="AY66" s="160" t="n">
        <x:f>'Calculations'!L50</x:f>
        <x:v>1.1733990120883908</x:v>
      </x:c>
      <x:c r="AZ66" s="160"/>
      <x:c r="BA66" s="160"/>
      <x:c r="BB66" s="160"/>
      <x:c r="BC66" s="160"/>
      <x:c r="BD66" s="160"/>
      <x:c r="BE66" s="160"/>
      <x:c r="BF66" s="160"/>
      <x:c r="BG66" s="160"/>
      <x:c r="BH66" s="160"/>
      <x:c r="BI66" s="160"/>
      <x:c r="BJ66" s="160"/>
      <x:c r="BK66" s="160"/>
      <x:c r="BL66" s="152"/>
      <x:c r="BM66" s="83"/>
      <x:c r="BN66" s="83"/>
    </x:row>
    <x:row r="67" ht="18" customHeight="1">
      <x:c r="A67" s="83"/>
      <x:c r="B67" s="83"/>
      <x:c r="C67" s="83"/>
      <x:c r="D67" s="83"/>
      <x:c r="E67" s="83"/>
      <x:c r="F67" s="88"/>
      <x:c r="G67" s="88"/>
      <x:c r="H67" s="88"/>
      <x:c r="I67" s="88"/>
      <x:c r="J67" s="88"/>
      <x:c r="K67" s="88"/>
      <x:c r="L67" s="88"/>
      <x:c r="M67" s="88"/>
      <x:c r="N67" s="83"/>
      <x:c r="O67" s="83"/>
      <x:c r="P67" s="83"/>
      <x:c r="Q67" s="83"/>
      <x:c r="R67" s="151"/>
      <x:c r="S67" s="160"/>
      <x:c r="T67" s="160"/>
      <x:c r="U67" s="160"/>
      <x:c r="V67" s="160"/>
      <x:c r="W67" s="160"/>
      <x:c r="X67" s="160"/>
      <x:c r="Y67" s="160"/>
      <x:c r="Z67" s="160"/>
      <x:c r="AA67" s="160"/>
      <x:c r="AB67" s="160"/>
      <x:c r="AC67" s="160"/>
      <x:c r="AD67" s="160"/>
      <x:c r="AE67" s="160"/>
      <x:c r="AF67" s="152"/>
      <x:c r="AG67" s="83"/>
      <x:c r="AH67" s="151"/>
      <x:c r="AI67" s="160"/>
      <x:c r="AJ67" s="160"/>
      <x:c r="AK67" s="160"/>
      <x:c r="AL67" s="160"/>
      <x:c r="AM67" s="160"/>
      <x:c r="AN67" s="160"/>
      <x:c r="AO67" s="160"/>
      <x:c r="AP67" s="160"/>
      <x:c r="AQ67" s="160"/>
      <x:c r="AR67" s="160"/>
      <x:c r="AS67" s="160"/>
      <x:c r="AT67" s="160"/>
      <x:c r="AU67" s="160"/>
      <x:c r="AV67" s="152"/>
      <x:c r="AW67" s="83"/>
      <x:c r="AX67" s="151"/>
      <x:c r="AY67" s="160"/>
      <x:c r="AZ67" s="160"/>
      <x:c r="BA67" s="160"/>
      <x:c r="BB67" s="160"/>
      <x:c r="BC67" s="160"/>
      <x:c r="BD67" s="160"/>
      <x:c r="BE67" s="160"/>
      <x:c r="BF67" s="160"/>
      <x:c r="BG67" s="160"/>
      <x:c r="BH67" s="160"/>
      <x:c r="BI67" s="160"/>
      <x:c r="BJ67" s="160"/>
      <x:c r="BK67" s="160"/>
      <x:c r="BL67" s="152"/>
      <x:c r="BM67" s="83"/>
      <x:c r="BN67" s="83"/>
    </x:row>
    <x:row r="68" ht="18" customHeight="1">
      <x:c r="A68" s="83"/>
      <x:c r="B68" s="83"/>
      <x:c r="C68" s="83"/>
      <x:c r="D68" s="83"/>
      <x:c r="E68" s="83"/>
      <x:c r="F68" s="83"/>
      <x:c r="G68" s="83"/>
      <x:c r="H68" s="83"/>
      <x:c r="I68" s="83"/>
      <x:c r="J68" s="83"/>
      <x:c r="K68" s="83"/>
      <x:c r="L68" s="83"/>
      <x:c r="M68" s="83"/>
      <x:c r="N68" s="83"/>
      <x:c r="O68" s="83"/>
      <x:c r="P68" s="83"/>
      <x:c r="Q68" s="83"/>
      <x:c r="R68" s="151"/>
      <x:c r="S68" s="160"/>
      <x:c r="T68" s="160"/>
      <x:c r="U68" s="160"/>
      <x:c r="V68" s="160"/>
      <x:c r="W68" s="160"/>
      <x:c r="X68" s="160"/>
      <x:c r="Y68" s="160"/>
      <x:c r="Z68" s="160"/>
      <x:c r="AA68" s="160"/>
      <x:c r="AB68" s="160"/>
      <x:c r="AC68" s="160"/>
      <x:c r="AD68" s="160"/>
      <x:c r="AE68" s="160"/>
      <x:c r="AF68" s="152"/>
      <x:c r="AG68" s="83"/>
      <x:c r="AH68" s="151"/>
      <x:c r="AI68" s="160"/>
      <x:c r="AJ68" s="160"/>
      <x:c r="AK68" s="160"/>
      <x:c r="AL68" s="160"/>
      <x:c r="AM68" s="160"/>
      <x:c r="AN68" s="160"/>
      <x:c r="AO68" s="160"/>
      <x:c r="AP68" s="160"/>
      <x:c r="AQ68" s="160"/>
      <x:c r="AR68" s="160"/>
      <x:c r="AS68" s="160"/>
      <x:c r="AT68" s="160"/>
      <x:c r="AU68" s="160"/>
      <x:c r="AV68" s="152"/>
      <x:c r="AW68" s="83"/>
      <x:c r="AX68" s="151"/>
      <x:c r="AY68" s="160"/>
      <x:c r="AZ68" s="160"/>
      <x:c r="BA68" s="160"/>
      <x:c r="BB68" s="160"/>
      <x:c r="BC68" s="160"/>
      <x:c r="BD68" s="160"/>
      <x:c r="BE68" s="160"/>
      <x:c r="BF68" s="160"/>
      <x:c r="BG68" s="160"/>
      <x:c r="BH68" s="160"/>
      <x:c r="BI68" s="160"/>
      <x:c r="BJ68" s="160"/>
      <x:c r="BK68" s="160"/>
      <x:c r="BL68" s="152"/>
      <x:c r="BM68" s="83"/>
      <x:c r="BN68" s="83"/>
    </x:row>
    <x:row r="69" ht="18" customHeight="1">
      <x:c r="A69" s="83"/>
      <x:c r="B69" s="83"/>
      <x:c r="C69" s="83"/>
      <x:c r="D69" s="83"/>
      <x:c r="E69" s="83"/>
      <x:c r="F69" s="83"/>
      <x:c r="G69" s="88"/>
      <x:c r="H69" s="88"/>
      <x:c r="I69" s="88"/>
      <x:c r="J69" s="88"/>
      <x:c r="K69" s="88"/>
      <x:c r="L69" s="88"/>
      <x:c r="M69" s="83"/>
      <x:c r="N69" s="83"/>
      <x:c r="O69" s="83"/>
      <x:c r="P69" s="83"/>
      <x:c r="Q69" s="83"/>
      <x:c r="R69" s="151"/>
      <x:c r="S69" s="162" t="str">
        <x:v>AI-LAB PURCHASES · 1× BASELINE</x:v>
      </x:c>
      <x:c r="T69" s="162"/>
      <x:c r="U69" s="162"/>
      <x:c r="V69" s="162"/>
      <x:c r="W69" s="162"/>
      <x:c r="X69" s="162"/>
      <x:c r="Y69" s="162"/>
      <x:c r="Z69" s="162"/>
      <x:c r="AA69" s="162"/>
      <x:c r="AB69" s="162"/>
      <x:c r="AC69" s="162"/>
      <x:c r="AD69" s="162"/>
      <x:c r="AE69" s="162"/>
      <x:c r="AF69" s="152"/>
      <x:c r="AG69" s="83"/>
      <x:c r="AH69" s="151"/>
      <x:c r="AI69" s="162" t="str">
        <x:v>AI-LAB PURCHASES · 1× BASELINE</x:v>
      </x:c>
      <x:c r="AJ69" s="162"/>
      <x:c r="AK69" s="162"/>
      <x:c r="AL69" s="162"/>
      <x:c r="AM69" s="162"/>
      <x:c r="AN69" s="162"/>
      <x:c r="AO69" s="162"/>
      <x:c r="AP69" s="162"/>
      <x:c r="AQ69" s="162"/>
      <x:c r="AR69" s="162"/>
      <x:c r="AS69" s="162"/>
      <x:c r="AT69" s="162"/>
      <x:c r="AU69" s="162"/>
      <x:c r="AV69" s="152"/>
      <x:c r="AW69" s="83"/>
      <x:c r="AX69" s="151"/>
      <x:c r="AY69" s="162" t="str">
        <x:v>AI-LAB PURCHASES · 1× BASELINE</x:v>
      </x:c>
      <x:c r="AZ69" s="162"/>
      <x:c r="BA69" s="162"/>
      <x:c r="BB69" s="162"/>
      <x:c r="BC69" s="162"/>
      <x:c r="BD69" s="162"/>
      <x:c r="BE69" s="162"/>
      <x:c r="BF69" s="162"/>
      <x:c r="BG69" s="162"/>
      <x:c r="BH69" s="162"/>
      <x:c r="BI69" s="162"/>
      <x:c r="BJ69" s="162"/>
      <x:c r="BK69" s="162"/>
      <x:c r="BL69" s="152"/>
      <x:c r="BM69" s="83"/>
      <x:c r="BN69" s="83"/>
    </x:row>
    <x:row r="70" ht="18" customHeight="1">
      <x:c r="A70" s="83"/>
      <x:c r="B70" s="83"/>
      <x:c r="C70" s="83"/>
      <x:c r="D70" s="83"/>
      <x:c r="E70" s="83"/>
      <x:c r="F70" s="83"/>
      <x:c r="G70" s="140" t="str">
        <x:v>Approval</x:v>
      </x:c>
      <x:c r="H70" s="140"/>
      <x:c r="I70" s="140"/>
      <x:c r="J70" s="140"/>
      <x:c r="K70" s="140"/>
      <x:c r="L70" s="140"/>
      <x:c r="M70" s="83"/>
      <x:c r="N70" s="83"/>
      <x:c r="O70" s="83"/>
      <x:c r="P70" s="83"/>
      <x:c r="Q70" s="83"/>
      <x:c r="R70" s="151"/>
      <x:c r="S70" s="88"/>
      <x:c r="T70" s="88"/>
      <x:c r="U70" s="88"/>
      <x:c r="V70" s="88"/>
      <x:c r="W70" s="88"/>
      <x:c r="X70" s="88"/>
      <x:c r="Y70" s="88"/>
      <x:c r="Z70" s="88"/>
      <x:c r="AA70" s="88"/>
      <x:c r="AB70" s="88"/>
      <x:c r="AC70" s="88"/>
      <x:c r="AD70" s="88"/>
      <x:c r="AE70" s="88"/>
      <x:c r="AF70" s="152"/>
      <x:c r="AG70" s="83"/>
      <x:c r="AH70" s="151"/>
      <x:c r="AI70" s="88"/>
      <x:c r="AJ70" s="88"/>
      <x:c r="AK70" s="88"/>
      <x:c r="AL70" s="88"/>
      <x:c r="AM70" s="88"/>
      <x:c r="AN70" s="88"/>
      <x:c r="AO70" s="88"/>
      <x:c r="AP70" s="88"/>
      <x:c r="AQ70" s="88"/>
      <x:c r="AR70" s="88"/>
      <x:c r="AS70" s="88"/>
      <x:c r="AT70" s="88"/>
      <x:c r="AU70" s="88"/>
      <x:c r="AV70" s="152"/>
      <x:c r="AW70" s="83"/>
      <x:c r="AX70" s="151"/>
      <x:c r="AY70" s="88"/>
      <x:c r="AZ70" s="88"/>
      <x:c r="BA70" s="88"/>
      <x:c r="BB70" s="88"/>
      <x:c r="BC70" s="88"/>
      <x:c r="BD70" s="88"/>
      <x:c r="BE70" s="88"/>
      <x:c r="BF70" s="88"/>
      <x:c r="BG70" s="88"/>
      <x:c r="BH70" s="88"/>
      <x:c r="BI70" s="88"/>
      <x:c r="BJ70" s="88"/>
      <x:c r="BK70" s="88"/>
      <x:c r="BL70" s="152"/>
      <x:c r="BM70" s="83"/>
      <x:c r="BN70" s="83"/>
    </x:row>
    <x:row r="71" ht="18" customHeight="1">
      <x:c r="A71" s="83"/>
      <x:c r="B71" s="83"/>
      <x:c r="C71" s="83"/>
      <x:c r="D71" s="83"/>
      <x:c r="E71" s="83"/>
      <x:c r="F71" s="83"/>
      <x:c r="G71" s="142" t="str">
        <x:v>Unproven</x:v>
      </x:c>
      <x:c r="H71" s="142"/>
      <x:c r="I71" s="142"/>
      <x:c r="J71" s="142"/>
      <x:c r="K71" s="142"/>
      <x:c r="L71" s="142"/>
      <x:c r="M71" s="83"/>
      <x:c r="N71" s="83"/>
      <x:c r="O71" s="83"/>
      <x:c r="P71" s="83"/>
      <x:c r="Q71" s="83"/>
      <x:c r="R71" s="151"/>
      <x:c r="S71" s="164" t="str">
        <x:v>Estimated whole-family uplift</x:v>
      </x:c>
      <x:c r="T71" s="164"/>
      <x:c r="U71" s="164"/>
      <x:c r="V71" s="164"/>
      <x:c r="W71" s="164"/>
      <x:c r="X71" s="164"/>
      <x:c r="Y71" s="164"/>
      <x:c r="Z71" s="164"/>
      <x:c r="AA71" s="164"/>
      <x:c r="AB71" s="168" t="n">
        <x:f>'Calculations'!M48-1</x:f>
        <x:v>0.04467294332615723</x:v>
      </x:c>
      <x:c r="AC71" s="168"/>
      <x:c r="AD71" s="168"/>
      <x:c r="AE71" s="168"/>
      <x:c r="AF71" s="152"/>
      <x:c r="AG71" s="83"/>
      <x:c r="AH71" s="151"/>
      <x:c r="AI71" s="164" t="str">
        <x:v>Estimated whole-family uplift</x:v>
      </x:c>
      <x:c r="AJ71" s="164"/>
      <x:c r="AK71" s="164"/>
      <x:c r="AL71" s="164"/>
      <x:c r="AM71" s="164"/>
      <x:c r="AN71" s="164"/>
      <x:c r="AO71" s="164"/>
      <x:c r="AP71" s="164"/>
      <x:c r="AQ71" s="164"/>
      <x:c r="AR71" s="168" t="n">
        <x:f>'Calculations'!M49-1</x:f>
        <x:v>0.20574284471189852</x:v>
      </x:c>
      <x:c r="AS71" s="168"/>
      <x:c r="AT71" s="168"/>
      <x:c r="AU71" s="168"/>
      <x:c r="AV71" s="152"/>
      <x:c r="AW71" s="83"/>
      <x:c r="AX71" s="151"/>
      <x:c r="AY71" s="164" t="str">
        <x:v>Estimated whole-family uplift</x:v>
      </x:c>
      <x:c r="AZ71" s="164"/>
      <x:c r="BA71" s="164"/>
      <x:c r="BB71" s="164"/>
      <x:c r="BC71" s="164"/>
      <x:c r="BD71" s="164"/>
      <x:c r="BE71" s="164"/>
      <x:c r="BF71" s="164"/>
      <x:c r="BG71" s="164"/>
      <x:c r="BH71" s="168" t="n">
        <x:f>'Calculations'!M50-1</x:f>
        <x:v>0.0092479473113809</x:v>
      </x:c>
      <x:c r="BI71" s="168"/>
      <x:c r="BJ71" s="168"/>
      <x:c r="BK71" s="168"/>
      <x:c r="BL71" s="152"/>
      <x:c r="BM71" s="83"/>
      <x:c r="BN71" s="83"/>
    </x:row>
    <x:row r="72" ht="18" customHeight="1">
      <x:c r="A72" s="83"/>
      <x:c r="B72" s="83"/>
      <x:c r="C72" s="83"/>
      <x:c r="D72" s="83"/>
      <x:c r="E72" s="83"/>
      <x:c r="F72" s="83"/>
      <x:c r="G72" s="142"/>
      <x:c r="H72" s="142"/>
      <x:c r="I72" s="142"/>
      <x:c r="J72" s="142"/>
      <x:c r="K72" s="142"/>
      <x:c r="L72" s="142"/>
      <x:c r="M72" s="83"/>
      <x:c r="N72" s="83"/>
      <x:c r="O72" s="83"/>
      <x:c r="P72" s="83"/>
      <x:c r="Q72" s="83"/>
      <x:c r="R72" s="151"/>
      <x:c r="S72" s="164"/>
      <x:c r="T72" s="164"/>
      <x:c r="U72" s="164"/>
      <x:c r="V72" s="164"/>
      <x:c r="W72" s="164"/>
      <x:c r="X72" s="164"/>
      <x:c r="Y72" s="164"/>
      <x:c r="Z72" s="164"/>
      <x:c r="AA72" s="164"/>
      <x:c r="AB72" s="168"/>
      <x:c r="AC72" s="168"/>
      <x:c r="AD72" s="168"/>
      <x:c r="AE72" s="168"/>
      <x:c r="AF72" s="152"/>
      <x:c r="AG72" s="83"/>
      <x:c r="AH72" s="151"/>
      <x:c r="AI72" s="164"/>
      <x:c r="AJ72" s="164"/>
      <x:c r="AK72" s="164"/>
      <x:c r="AL72" s="164"/>
      <x:c r="AM72" s="164"/>
      <x:c r="AN72" s="164"/>
      <x:c r="AO72" s="164"/>
      <x:c r="AP72" s="164"/>
      <x:c r="AQ72" s="164"/>
      <x:c r="AR72" s="168"/>
      <x:c r="AS72" s="168"/>
      <x:c r="AT72" s="168"/>
      <x:c r="AU72" s="168"/>
      <x:c r="AV72" s="152"/>
      <x:c r="AW72" s="83"/>
      <x:c r="AX72" s="151"/>
      <x:c r="AY72" s="164"/>
      <x:c r="AZ72" s="164"/>
      <x:c r="BA72" s="164"/>
      <x:c r="BB72" s="164"/>
      <x:c r="BC72" s="164"/>
      <x:c r="BD72" s="164"/>
      <x:c r="BE72" s="164"/>
      <x:c r="BF72" s="164"/>
      <x:c r="BG72" s="164"/>
      <x:c r="BH72" s="168"/>
      <x:c r="BI72" s="168"/>
      <x:c r="BJ72" s="168"/>
      <x:c r="BK72" s="168"/>
      <x:c r="BL72" s="152"/>
      <x:c r="BM72" s="83"/>
      <x:c r="BN72" s="83"/>
    </x:row>
    <x:row r="73" ht="18" customHeight="1">
      <x:c r="A73" s="83"/>
      <x:c r="B73" s="83"/>
      <x:c r="C73" s="83"/>
      <x:c r="D73" s="83"/>
      <x:c r="E73" s="83"/>
      <x:c r="F73" s="83"/>
      <x:c r="G73" s="88"/>
      <x:c r="H73" s="88"/>
      <x:c r="I73" s="88"/>
      <x:c r="J73" s="88"/>
      <x:c r="K73" s="88"/>
      <x:c r="L73" s="88"/>
      <x:c r="M73" s="83"/>
      <x:c r="N73" s="83"/>
      <x:c r="O73" s="83"/>
      <x:c r="P73" s="83"/>
      <x:c r="Q73" s="83"/>
      <x:c r="R73" s="151"/>
      <x:c r="S73" s="162" t="str">
        <x:f>"Assumed AI exposure "&amp;TEXT('Calculations'!G48,"0.0%")</x:f>
        <x:v>Assumed AI exposure 9.3%</x:v>
      </x:c>
      <x:c r="T73" s="162"/>
      <x:c r="U73" s="162"/>
      <x:c r="V73" s="162"/>
      <x:c r="W73" s="162"/>
      <x:c r="X73" s="162"/>
      <x:c r="Y73" s="162"/>
      <x:c r="Z73" s="162"/>
      <x:c r="AA73" s="162"/>
      <x:c r="AB73" s="162"/>
      <x:c r="AC73" s="162"/>
      <x:c r="AD73" s="162"/>
      <x:c r="AE73" s="162"/>
      <x:c r="AF73" s="152"/>
      <x:c r="AG73" s="83"/>
      <x:c r="AH73" s="151"/>
      <x:c r="AI73" s="162" t="str">
        <x:f>"Assumed AI exposure "&amp;TEXT('Calculations'!G49,"0.0%")</x:f>
        <x:v>Assumed AI exposure 14.7%</x:v>
      </x:c>
      <x:c r="AJ73" s="162"/>
      <x:c r="AK73" s="162"/>
      <x:c r="AL73" s="162"/>
      <x:c r="AM73" s="162"/>
      <x:c r="AN73" s="162"/>
      <x:c r="AO73" s="162"/>
      <x:c r="AP73" s="162"/>
      <x:c r="AQ73" s="162"/>
      <x:c r="AR73" s="162"/>
      <x:c r="AS73" s="162"/>
      <x:c r="AT73" s="162"/>
      <x:c r="AU73" s="162"/>
      <x:c r="AV73" s="152"/>
      <x:c r="AW73" s="83"/>
      <x:c r="AX73" s="151"/>
      <x:c r="AY73" s="162" t="str">
        <x:f>"Assumed AI exposure "&amp;TEXT('Calculations'!G50,"0.0%")</x:f>
        <x:v>Assumed AI exposure 5.3%</x:v>
      </x:c>
      <x:c r="AZ73" s="162"/>
      <x:c r="BA73" s="162"/>
      <x:c r="BB73" s="162"/>
      <x:c r="BC73" s="162"/>
      <x:c r="BD73" s="162"/>
      <x:c r="BE73" s="162"/>
      <x:c r="BF73" s="162"/>
      <x:c r="BG73" s="162"/>
      <x:c r="BH73" s="162"/>
      <x:c r="BI73" s="162"/>
      <x:c r="BJ73" s="162"/>
      <x:c r="BK73" s="162"/>
      <x:c r="BL73" s="152"/>
      <x:c r="BM73" s="83"/>
      <x:c r="BN73" s="83"/>
    </x:row>
    <x:row r="74" ht="18" customHeight="1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83"/>
      <x:c r="R74" s="151"/>
      <x:c r="S74" s="88"/>
      <x:c r="T74" s="88"/>
      <x:c r="U74" s="88"/>
      <x:c r="V74" s="88"/>
      <x:c r="W74" s="88"/>
      <x:c r="X74" s="88"/>
      <x:c r="Y74" s="88"/>
      <x:c r="Z74" s="88"/>
      <x:c r="AA74" s="88"/>
      <x:c r="AB74" s="88"/>
      <x:c r="AC74" s="88"/>
      <x:c r="AD74" s="88"/>
      <x:c r="AE74" s="88"/>
      <x:c r="AF74" s="152"/>
      <x:c r="AG74" s="83"/>
      <x:c r="AH74" s="151"/>
      <x:c r="AI74" s="88"/>
      <x:c r="AJ74" s="88"/>
      <x:c r="AK74" s="88"/>
      <x:c r="AL74" s="88"/>
      <x:c r="AM74" s="88"/>
      <x:c r="AN74" s="88"/>
      <x:c r="AO74" s="88"/>
      <x:c r="AP74" s="88"/>
      <x:c r="AQ74" s="88"/>
      <x:c r="AR74" s="88"/>
      <x:c r="AS74" s="88"/>
      <x:c r="AT74" s="88"/>
      <x:c r="AU74" s="88"/>
      <x:c r="AV74" s="152"/>
      <x:c r="AW74" s="83"/>
      <x:c r="AX74" s="151"/>
      <x:c r="AY74" s="88"/>
      <x:c r="AZ74" s="88"/>
      <x:c r="BA74" s="88"/>
      <x:c r="BB74" s="88"/>
      <x:c r="BC74" s="88"/>
      <x:c r="BD74" s="88"/>
      <x:c r="BE74" s="88"/>
      <x:c r="BF74" s="88"/>
      <x:c r="BG74" s="88"/>
      <x:c r="BH74" s="88"/>
      <x:c r="BI74" s="88"/>
      <x:c r="BJ74" s="88"/>
      <x:c r="BK74" s="88"/>
      <x:c r="BL74" s="152"/>
      <x:c r="BM74" s="83"/>
      <x:c r="BN74" s="83"/>
    </x:row>
    <x:row r="75" ht="18" customHeight="1">
      <x:c r="A75" s="83"/>
      <x:c r="B75" s="83"/>
      <x:c r="C75" s="145" t="str">
        <x:v>WET LAB = BUILD + TEST</x:v>
      </x:c>
      <x:c r="D75" s="145"/>
      <x:c r="E75" s="145"/>
      <x:c r="F75" s="145"/>
      <x:c r="G75" s="145"/>
      <x:c r="H75" s="145"/>
      <x:c r="I75" s="145"/>
      <x:c r="J75" s="145"/>
      <x:c r="K75" s="145"/>
      <x:c r="L75" s="145"/>
      <x:c r="M75" s="145"/>
      <x:c r="N75" s="145"/>
      <x:c r="O75" s="145"/>
      <x:c r="P75" s="145"/>
      <x:c r="Q75" s="83"/>
      <x:c r="R75" s="151"/>
      <x:c r="S75" s="88"/>
      <x:c r="T75" s="88"/>
      <x:c r="U75" s="88"/>
      <x:c r="V75" s="88"/>
      <x:c r="W75" s="88"/>
      <x:c r="X75" s="88"/>
      <x:c r="Y75" s="88"/>
      <x:c r="Z75" s="88"/>
      <x:c r="AA75" s="88"/>
      <x:c r="AB75" s="88"/>
      <x:c r="AC75" s="88"/>
      <x:c r="AD75" s="88"/>
      <x:c r="AE75" s="88"/>
      <x:c r="AF75" s="152"/>
      <x:c r="AG75" s="83"/>
      <x:c r="AH75" s="151"/>
      <x:c r="AI75" s="88"/>
      <x:c r="AJ75" s="88"/>
      <x:c r="AK75" s="88"/>
      <x:c r="AL75" s="88"/>
      <x:c r="AM75" s="88"/>
      <x:c r="AN75" s="88"/>
      <x:c r="AO75" s="88"/>
      <x:c r="AP75" s="88"/>
      <x:c r="AQ75" s="88"/>
      <x:c r="AR75" s="88"/>
      <x:c r="AS75" s="88"/>
      <x:c r="AT75" s="88"/>
      <x:c r="AU75" s="88"/>
      <x:c r="AV75" s="152"/>
      <x:c r="AW75" s="83"/>
      <x:c r="AX75" s="151"/>
      <x:c r="AY75" s="88"/>
      <x:c r="AZ75" s="88"/>
      <x:c r="BA75" s="88"/>
      <x:c r="BB75" s="88"/>
      <x:c r="BC75" s="88"/>
      <x:c r="BD75" s="88"/>
      <x:c r="BE75" s="88"/>
      <x:c r="BF75" s="88"/>
      <x:c r="BG75" s="88"/>
      <x:c r="BH75" s="88"/>
      <x:c r="BI75" s="88"/>
      <x:c r="BJ75" s="88"/>
      <x:c r="BK75" s="88"/>
      <x:c r="BL75" s="152"/>
      <x:c r="BM75" s="83"/>
      <x:c r="BN75" s="83"/>
    </x:row>
    <x:row r="76" ht="18" customHeight="1">
      <x:c r="A76" s="83"/>
      <x:c r="B76" s="83"/>
      <x:c r="C76" s="145"/>
      <x:c r="D76" s="145"/>
      <x:c r="E76" s="145"/>
      <x:c r="F76" s="145"/>
      <x:c r="G76" s="145"/>
      <x:c r="H76" s="145"/>
      <x:c r="I76" s="145"/>
      <x:c r="J76" s="145"/>
      <x:c r="K76" s="145"/>
      <x:c r="L76" s="145"/>
      <x:c r="M76" s="145"/>
      <x:c r="N76" s="145"/>
      <x:c r="O76" s="145"/>
      <x:c r="P76" s="145"/>
      <x:c r="Q76" s="83"/>
      <x:c r="R76" s="151"/>
      <x:c r="S76" s="107"/>
      <x:c r="T76" s="107"/>
      <x:c r="U76" s="107"/>
      <x:c r="V76" s="107"/>
      <x:c r="W76" s="107"/>
      <x:c r="X76" s="107"/>
      <x:c r="Y76" s="107"/>
      <x:c r="Z76" s="107"/>
      <x:c r="AA76" s="107"/>
      <x:c r="AB76" s="107"/>
      <x:c r="AC76" s="107"/>
      <x:c r="AD76" s="107"/>
      <x:c r="AE76" s="107"/>
      <x:c r="AF76" s="152"/>
      <x:c r="AG76" s="83"/>
      <x:c r="AH76" s="151"/>
      <x:c r="AI76" s="107"/>
      <x:c r="AJ76" s="107"/>
      <x:c r="AK76" s="107"/>
      <x:c r="AL76" s="107"/>
      <x:c r="AM76" s="107"/>
      <x:c r="AN76" s="107"/>
      <x:c r="AO76" s="107"/>
      <x:c r="AP76" s="107"/>
      <x:c r="AQ76" s="107"/>
      <x:c r="AR76" s="107"/>
      <x:c r="AS76" s="107"/>
      <x:c r="AT76" s="107"/>
      <x:c r="AU76" s="107"/>
      <x:c r="AV76" s="152"/>
      <x:c r="AW76" s="83"/>
      <x:c r="AX76" s="151"/>
      <x:c r="AY76" s="107"/>
      <x:c r="AZ76" s="107"/>
      <x:c r="BA76" s="107"/>
      <x:c r="BB76" s="107"/>
      <x:c r="BC76" s="107"/>
      <x:c r="BD76" s="107"/>
      <x:c r="BE76" s="107"/>
      <x:c r="BF76" s="107"/>
      <x:c r="BG76" s="107"/>
      <x:c r="BH76" s="107"/>
      <x:c r="BI76" s="107"/>
      <x:c r="BJ76" s="107"/>
      <x:c r="BK76" s="107"/>
      <x:c r="BL76" s="152"/>
      <x:c r="BM76" s="83"/>
      <x:c r="BN76" s="83"/>
    </x:row>
    <x:row r="77" ht="18" customHeight="1">
      <x:c r="A77" s="83"/>
      <x:c r="B77" s="83"/>
      <x:c r="C77" s="83"/>
      <x:c r="D77" s="83"/>
      <x:c r="E77" s="83"/>
      <x:c r="F77" s="83"/>
      <x:c r="G77" s="83"/>
      <x:c r="H77" s="83"/>
      <x:c r="I77" s="83"/>
      <x:c r="J77" s="83"/>
      <x:c r="K77" s="83"/>
      <x:c r="L77" s="83"/>
      <x:c r="M77" s="83"/>
      <x:c r="N77" s="83"/>
      <x:c r="O77" s="83"/>
      <x:c r="P77" s="83"/>
      <x:c r="Q77" s="83"/>
      <x:c r="R77" s="151"/>
      <x:c r="S77" s="170" t="str">
        <x:v>CHINA / HK LISTINGS</x:v>
      </x:c>
      <x:c r="T77" s="170"/>
      <x:c r="U77" s="170"/>
      <x:c r="V77" s="170"/>
      <x:c r="W77" s="170"/>
      <x:c r="X77" s="170"/>
      <x:c r="Y77" s="170"/>
      <x:c r="Z77" s="170"/>
      <x:c r="AA77" s="170"/>
      <x:c r="AB77" s="170"/>
      <x:c r="AC77" s="170"/>
      <x:c r="AD77" s="170"/>
      <x:c r="AE77" s="170"/>
      <x:c r="AF77" s="152"/>
      <x:c r="AG77" s="83"/>
      <x:c r="AH77" s="151"/>
      <x:c r="AI77" s="170" t="str">
        <x:v>CHINA / HK LISTINGS</x:v>
      </x:c>
      <x:c r="AJ77" s="170"/>
      <x:c r="AK77" s="170"/>
      <x:c r="AL77" s="170"/>
      <x:c r="AM77" s="170"/>
      <x:c r="AN77" s="170"/>
      <x:c r="AO77" s="170"/>
      <x:c r="AP77" s="170"/>
      <x:c r="AQ77" s="170"/>
      <x:c r="AR77" s="170"/>
      <x:c r="AS77" s="170"/>
      <x:c r="AT77" s="170"/>
      <x:c r="AU77" s="170"/>
      <x:c r="AV77" s="152"/>
      <x:c r="AW77" s="83"/>
      <x:c r="AX77" s="151"/>
      <x:c r="AY77" s="170" t="str">
        <x:v>CHINA / HK LISTINGS</x:v>
      </x:c>
      <x:c r="AZ77" s="170"/>
      <x:c r="BA77" s="170"/>
      <x:c r="BB77" s="170"/>
      <x:c r="BC77" s="170"/>
      <x:c r="BD77" s="170"/>
      <x:c r="BE77" s="170"/>
      <x:c r="BF77" s="170"/>
      <x:c r="BG77" s="170"/>
      <x:c r="BH77" s="170"/>
      <x:c r="BI77" s="170"/>
      <x:c r="BJ77" s="170"/>
      <x:c r="BK77" s="170"/>
      <x:c r="BL77" s="152"/>
      <x:c r="BM77" s="83"/>
      <x:c r="BN77" s="83"/>
    </x:row>
    <x:row r="78" ht="18" customHeight="1">
      <x:c r="A78" s="83"/>
      <x:c r="B78" s="83"/>
      <x:c r="C78" s="147" t="str">
        <x:v>Schematic widths. The 2–10× range is a target envelope: actual funded support can be below 2×. Clinical gains are not inferred.</x:v>
      </x:c>
      <x:c r="D78" s="147"/>
      <x:c r="E78" s="147"/>
      <x:c r="F78" s="147"/>
      <x:c r="G78" s="147"/>
      <x:c r="H78" s="147"/>
      <x:c r="I78" s="147"/>
      <x:c r="J78" s="147"/>
      <x:c r="K78" s="147"/>
      <x:c r="L78" s="147"/>
      <x:c r="M78" s="147"/>
      <x:c r="N78" s="147"/>
      <x:c r="O78" s="147"/>
      <x:c r="P78" s="147"/>
      <x:c r="Q78" s="83"/>
      <x:c r="R78" s="151"/>
      <x:c r="S78" s="172" t="str">
        <x:v>JET Biofil · 688026.SH   |   Changhong · 300151.SZ</x:v>
      </x:c>
      <x:c r="T78" s="172"/>
      <x:c r="U78" s="172"/>
      <x:c r="V78" s="172"/>
      <x:c r="W78" s="172"/>
      <x:c r="X78" s="172"/>
      <x:c r="Y78" s="172"/>
      <x:c r="Z78" s="172"/>
      <x:c r="AA78" s="172"/>
      <x:c r="AB78" s="172"/>
      <x:c r="AC78" s="172"/>
      <x:c r="AD78" s="172"/>
      <x:c r="AE78" s="172"/>
      <x:c r="AF78" s="152"/>
      <x:c r="AG78" s="83"/>
      <x:c r="AH78" s="151"/>
      <x:c r="AI78" s="172" t="str">
        <x:v>MGI · 688114.SH   |   NanoMicro · 688690.SH</x:v>
      </x:c>
      <x:c r="AJ78" s="172"/>
      <x:c r="AK78" s="172"/>
      <x:c r="AL78" s="172"/>
      <x:c r="AM78" s="172"/>
      <x:c r="AN78" s="172"/>
      <x:c r="AO78" s="172"/>
      <x:c r="AP78" s="172"/>
      <x:c r="AQ78" s="172"/>
      <x:c r="AR78" s="172"/>
      <x:c r="AS78" s="172"/>
      <x:c r="AT78" s="172"/>
      <x:c r="AU78" s="172"/>
      <x:c r="AV78" s="152"/>
      <x:c r="AW78" s="83"/>
      <x:c r="AX78" s="151"/>
      <x:c r="AY78" s="172" t="str">
        <x:v>NanoMicro · 688690.SH   |   Sepax · 688758.SH</x:v>
      </x:c>
      <x:c r="AZ78" s="172"/>
      <x:c r="BA78" s="172"/>
      <x:c r="BB78" s="172"/>
      <x:c r="BC78" s="172"/>
      <x:c r="BD78" s="172"/>
      <x:c r="BE78" s="172"/>
      <x:c r="BF78" s="172"/>
      <x:c r="BG78" s="172"/>
      <x:c r="BH78" s="172"/>
      <x:c r="BI78" s="172"/>
      <x:c r="BJ78" s="172"/>
      <x:c r="BK78" s="172"/>
      <x:c r="BL78" s="152"/>
      <x:c r="BM78" s="83"/>
      <x:c r="BN78" s="83"/>
    </x:row>
    <x:row r="79" ht="18" customHeight="1">
      <x:c r="A79" s="83"/>
      <x:c r="B79" s="83"/>
      <x:c r="C79" s="147"/>
      <x:c r="D79" s="147"/>
      <x:c r="E79" s="147"/>
      <x:c r="F79" s="147"/>
      <x:c r="G79" s="147"/>
      <x:c r="H79" s="147"/>
      <x:c r="I79" s="147"/>
      <x:c r="J79" s="147"/>
      <x:c r="K79" s="147"/>
      <x:c r="L79" s="147"/>
      <x:c r="M79" s="147"/>
      <x:c r="N79" s="147"/>
      <x:c r="O79" s="147"/>
      <x:c r="P79" s="147"/>
      <x:c r="Q79" s="83"/>
      <x:c r="R79" s="151"/>
      <x:c r="S79" s="170" t="str">
        <x:v>US LISTINGS / PARENTS</x:v>
      </x:c>
      <x:c r="T79" s="170"/>
      <x:c r="U79" s="170"/>
      <x:c r="V79" s="170"/>
      <x:c r="W79" s="170"/>
      <x:c r="X79" s="170"/>
      <x:c r="Y79" s="170"/>
      <x:c r="Z79" s="170"/>
      <x:c r="AA79" s="170"/>
      <x:c r="AB79" s="170"/>
      <x:c r="AC79" s="170"/>
      <x:c r="AD79" s="170"/>
      <x:c r="AE79" s="170"/>
      <x:c r="AF79" s="152"/>
      <x:c r="AG79" s="83"/>
      <x:c r="AH79" s="151"/>
      <x:c r="AI79" s="170" t="str">
        <x:v>US LISTINGS / PARENTS</x:v>
      </x:c>
      <x:c r="AJ79" s="170"/>
      <x:c r="AK79" s="170"/>
      <x:c r="AL79" s="170"/>
      <x:c r="AM79" s="170"/>
      <x:c r="AN79" s="170"/>
      <x:c r="AO79" s="170"/>
      <x:c r="AP79" s="170"/>
      <x:c r="AQ79" s="170"/>
      <x:c r="AR79" s="170"/>
      <x:c r="AS79" s="170"/>
      <x:c r="AT79" s="170"/>
      <x:c r="AU79" s="170"/>
      <x:c r="AV79" s="152"/>
      <x:c r="AW79" s="83"/>
      <x:c r="AX79" s="151"/>
      <x:c r="AY79" s="170" t="str">
        <x:v>US LISTINGS / PARENTS</x:v>
      </x:c>
      <x:c r="AZ79" s="170"/>
      <x:c r="BA79" s="170"/>
      <x:c r="BB79" s="170"/>
      <x:c r="BC79" s="170"/>
      <x:c r="BD79" s="170"/>
      <x:c r="BE79" s="170"/>
      <x:c r="BF79" s="170"/>
      <x:c r="BG79" s="170"/>
      <x:c r="BH79" s="170"/>
      <x:c r="BI79" s="170"/>
      <x:c r="BJ79" s="170"/>
      <x:c r="BK79" s="170"/>
      <x:c r="BL79" s="152"/>
      <x:c r="BM79" s="83"/>
      <x:c r="BN79" s="83"/>
    </x:row>
    <x:row r="80" ht="18" customHeight="1">
      <x:c r="A80" s="83"/>
      <x:c r="B80" s="83"/>
      <x:c r="C80" s="147"/>
      <x:c r="D80" s="147"/>
      <x:c r="E80" s="147"/>
      <x:c r="F80" s="147"/>
      <x:c r="G80" s="147"/>
      <x:c r="H80" s="147"/>
      <x:c r="I80" s="147"/>
      <x:c r="J80" s="147"/>
      <x:c r="K80" s="147"/>
      <x:c r="L80" s="147"/>
      <x:c r="M80" s="147"/>
      <x:c r="N80" s="147"/>
      <x:c r="O80" s="147"/>
      <x:c r="P80" s="147"/>
      <x:c r="Q80" s="83"/>
      <x:c r="R80" s="151"/>
      <x:c r="S80" s="174" t="str">
        <x:v>Corning · GLW   |   BD · BDX (collection)</x:v>
      </x:c>
      <x:c r="T80" s="174"/>
      <x:c r="U80" s="174"/>
      <x:c r="V80" s="174"/>
      <x:c r="W80" s="174"/>
      <x:c r="X80" s="174"/>
      <x:c r="Y80" s="174"/>
      <x:c r="Z80" s="174"/>
      <x:c r="AA80" s="174"/>
      <x:c r="AB80" s="174"/>
      <x:c r="AC80" s="174"/>
      <x:c r="AD80" s="174"/>
      <x:c r="AE80" s="174"/>
      <x:c r="AF80" s="152"/>
      <x:c r="AG80" s="83"/>
      <x:c r="AH80" s="151"/>
      <x:c r="AI80" s="174" t="str">
        <x:v>Agilent · A / Thermo · TMO   |   Waters · WAT (incl. ex-BD flow)</x:v>
      </x:c>
      <x:c r="AJ80" s="174"/>
      <x:c r="AK80" s="174"/>
      <x:c r="AL80" s="174"/>
      <x:c r="AM80" s="174"/>
      <x:c r="AN80" s="174"/>
      <x:c r="AO80" s="174"/>
      <x:c r="AP80" s="174"/>
      <x:c r="AQ80" s="174"/>
      <x:c r="AR80" s="174"/>
      <x:c r="AS80" s="174"/>
      <x:c r="AT80" s="174"/>
      <x:c r="AU80" s="174"/>
      <x:c r="AV80" s="152"/>
      <x:c r="AW80" s="83"/>
      <x:c r="AX80" s="151"/>
      <x:c r="AY80" s="174" t="str">
        <x:v>Cytiva / Danaher · DHR   |   Repligen · RGEN</x:v>
      </x:c>
      <x:c r="AZ80" s="174"/>
      <x:c r="BA80" s="174"/>
      <x:c r="BB80" s="174"/>
      <x:c r="BC80" s="174"/>
      <x:c r="BD80" s="174"/>
      <x:c r="BE80" s="174"/>
      <x:c r="BF80" s="174"/>
      <x:c r="BG80" s="174"/>
      <x:c r="BH80" s="174"/>
      <x:c r="BI80" s="174"/>
      <x:c r="BJ80" s="174"/>
      <x:c r="BK80" s="174"/>
      <x:c r="BL80" s="152"/>
      <x:c r="BM80" s="83"/>
      <x:c r="BN80" s="83"/>
    </x:row>
    <x:row r="81" ht="18" customHeight="1">
      <x:c r="A81" s="83"/>
      <x:c r="B81" s="83"/>
      <x:c r="C81" s="147"/>
      <x:c r="D81" s="147"/>
      <x:c r="E81" s="147"/>
      <x:c r="F81" s="147"/>
      <x:c r="G81" s="147"/>
      <x:c r="H81" s="147"/>
      <x:c r="I81" s="147"/>
      <x:c r="J81" s="147"/>
      <x:c r="K81" s="147"/>
      <x:c r="L81" s="147"/>
      <x:c r="M81" s="147"/>
      <x:c r="N81" s="147"/>
      <x:c r="O81" s="147"/>
      <x:c r="P81" s="147"/>
      <x:c r="Q81" s="83"/>
      <x:c r="R81" s="153"/>
      <x:c r="S81" s="175"/>
      <x:c r="T81" s="175"/>
      <x:c r="U81" s="175"/>
      <x:c r="V81" s="175"/>
      <x:c r="W81" s="175"/>
      <x:c r="X81" s="175"/>
      <x:c r="Y81" s="175"/>
      <x:c r="Z81" s="175"/>
      <x:c r="AA81" s="175"/>
      <x:c r="AB81" s="175"/>
      <x:c r="AC81" s="175"/>
      <x:c r="AD81" s="175"/>
      <x:c r="AE81" s="175"/>
      <x:c r="AF81" s="154"/>
      <x:c r="AG81" s="83"/>
      <x:c r="AH81" s="153"/>
      <x:c r="AI81" s="175"/>
      <x:c r="AJ81" s="175"/>
      <x:c r="AK81" s="175"/>
      <x:c r="AL81" s="175"/>
      <x:c r="AM81" s="175"/>
      <x:c r="AN81" s="175"/>
      <x:c r="AO81" s="175"/>
      <x:c r="AP81" s="175"/>
      <x:c r="AQ81" s="175"/>
      <x:c r="AR81" s="175"/>
      <x:c r="AS81" s="175"/>
      <x:c r="AT81" s="175"/>
      <x:c r="AU81" s="175"/>
      <x:c r="AV81" s="154"/>
      <x:c r="AW81" s="83"/>
      <x:c r="AX81" s="153"/>
      <x:c r="AY81" s="175"/>
      <x:c r="AZ81" s="175"/>
      <x:c r="BA81" s="175"/>
      <x:c r="BB81" s="175"/>
      <x:c r="BC81" s="175"/>
      <x:c r="BD81" s="175"/>
      <x:c r="BE81" s="175"/>
      <x:c r="BF81" s="175"/>
      <x:c r="BG81" s="175"/>
      <x:c r="BH81" s="175"/>
      <x:c r="BI81" s="175"/>
      <x:c r="BJ81" s="175"/>
      <x:c r="BK81" s="175"/>
      <x:c r="BL81" s="154"/>
      <x:c r="BM81" s="83"/>
      <x:c r="BN81" s="83"/>
    </x:row>
    <x:row r="82" ht="18" customHeight="1">
      <x:c r="A82" s="83"/>
      <x:c r="B82" s="83"/>
      <x:c r="C82" s="83"/>
      <x:c r="D82" s="83"/>
      <x:c r="E82" s="83"/>
      <x:c r="F82" s="83"/>
      <x:c r="G82" s="83"/>
      <x:c r="H82" s="83"/>
      <x:c r="I82" s="83"/>
      <x:c r="J82" s="83"/>
      <x:c r="K82" s="83"/>
      <x:c r="L82" s="83"/>
      <x:c r="M82" s="83"/>
      <x:c r="N82" s="83"/>
      <x:c r="O82" s="83"/>
      <x:c r="P82" s="83"/>
      <x:c r="Q82" s="83"/>
      <x:c r="R82" s="83"/>
      <x:c r="S82" s="83"/>
      <x:c r="T82" s="83"/>
      <x:c r="U82" s="83"/>
      <x:c r="V82" s="83"/>
      <x:c r="W82" s="83"/>
      <x:c r="X82" s="83"/>
      <x:c r="Y82" s="83"/>
      <x:c r="Z82" s="83"/>
      <x:c r="AA82" s="83"/>
      <x:c r="AB82" s="83"/>
      <x:c r="AC82" s="83"/>
      <x:c r="AD82" s="83"/>
      <x:c r="AE82" s="83"/>
      <x:c r="AF82" s="83"/>
      <x:c r="AG82" s="83"/>
      <x:c r="AH82" s="83"/>
      <x:c r="AI82" s="83"/>
      <x:c r="AJ82" s="83"/>
      <x:c r="AK82" s="83"/>
      <x:c r="AL82" s="83"/>
      <x:c r="AM82" s="83"/>
      <x:c r="AN82" s="83"/>
      <x:c r="AO82" s="83"/>
      <x:c r="AP82" s="83"/>
      <x:c r="AQ82" s="83"/>
      <x:c r="AR82" s="83"/>
      <x:c r="AS82" s="83"/>
      <x:c r="AT82" s="83"/>
      <x:c r="AU82" s="83"/>
      <x:c r="AV82" s="83"/>
      <x:c r="AW82" s="83"/>
      <x:c r="AX82" s="83"/>
      <x:c r="AY82" s="83"/>
      <x:c r="AZ82" s="83"/>
      <x:c r="BA82" s="83"/>
      <x:c r="BB82" s="83"/>
      <x:c r="BC82" s="83"/>
      <x:c r="BD82" s="83"/>
      <x:c r="BE82" s="83"/>
      <x:c r="BF82" s="83"/>
      <x:c r="BG82" s="83"/>
      <x:c r="BH82" s="83"/>
      <x:c r="BI82" s="83"/>
      <x:c r="BJ82" s="83"/>
      <x:c r="BK82" s="83"/>
      <x:c r="BL82" s="83"/>
      <x:c r="BM82" s="83"/>
      <x:c r="BN82" s="83"/>
    </x:row>
    <x:row r="83" ht="18" customHeight="1">
      <x:c r="A83" s="83"/>
      <x:c r="B83" s="83"/>
      <x:c r="C83" s="83"/>
      <x:c r="D83" s="83"/>
      <x:c r="E83" s="83"/>
      <x:c r="F83" s="83"/>
      <x:c r="G83" s="83"/>
      <x:c r="H83" s="83"/>
      <x:c r="I83" s="83"/>
      <x:c r="J83" s="83"/>
      <x:c r="K83" s="83"/>
      <x:c r="L83" s="83"/>
      <x:c r="M83" s="83"/>
      <x:c r="N83" s="83"/>
      <x:c r="O83" s="83"/>
      <x:c r="P83" s="83"/>
      <x:c r="Q83" s="83"/>
      <x:c r="R83" s="83"/>
      <x:c r="S83" s="83"/>
      <x:c r="T83" s="83"/>
      <x:c r="U83" s="83"/>
      <x:c r="V83" s="83"/>
      <x:c r="W83" s="83"/>
      <x:c r="X83" s="83"/>
      <x:c r="Y83" s="83"/>
      <x:c r="Z83" s="83"/>
      <x:c r="AA83" s="83"/>
      <x:c r="AB83" s="83"/>
      <x:c r="AC83" s="83"/>
      <x:c r="AD83" s="83"/>
      <x:c r="AE83" s="83"/>
      <x:c r="AF83" s="83"/>
      <x:c r="AG83" s="83"/>
      <x:c r="AH83" s="83"/>
      <x:c r="AI83" s="83"/>
      <x:c r="AJ83" s="83"/>
      <x:c r="AK83" s="83"/>
      <x:c r="AL83" s="83"/>
      <x:c r="AM83" s="83"/>
      <x:c r="AN83" s="83"/>
      <x:c r="AO83" s="83"/>
      <x:c r="AP83" s="83"/>
      <x:c r="AQ83" s="83"/>
      <x:c r="AR83" s="83"/>
      <x:c r="AS83" s="83"/>
      <x:c r="AT83" s="83"/>
      <x:c r="AU83" s="83"/>
      <x:c r="AV83" s="83"/>
      <x:c r="AW83" s="83"/>
      <x:c r="AX83" s="83"/>
      <x:c r="AY83" s="83"/>
      <x:c r="AZ83" s="83"/>
      <x:c r="BA83" s="83"/>
      <x:c r="BB83" s="83"/>
      <x:c r="BC83" s="83"/>
      <x:c r="BD83" s="83"/>
      <x:c r="BE83" s="83"/>
      <x:c r="BF83" s="83"/>
      <x:c r="BG83" s="83"/>
      <x:c r="BH83" s="83"/>
      <x:c r="BI83" s="83"/>
      <x:c r="BJ83" s="83"/>
      <x:c r="BK83" s="83"/>
      <x:c r="BL83" s="83"/>
      <x:c r="BM83" s="83"/>
      <x:c r="BN83" s="83"/>
    </x:row>
    <x:row r="84" ht="18" customHeight="1">
      <x:c r="A84" s="83"/>
      <x:c r="B84" s="83"/>
      <x:c r="C84" s="180" t="str">
        <x:v>Automation + data orchestration span every step | Tecan · TECN.SW / Hamilton / Benchling</x:v>
      </x:c>
      <x:c r="D84" s="180"/>
      <x:c r="E84" s="180"/>
      <x:c r="F84" s="180"/>
      <x:c r="G84" s="180"/>
      <x:c r="H84" s="180"/>
      <x:c r="I84" s="180"/>
      <x:c r="J84" s="180"/>
      <x:c r="K84" s="180"/>
      <x:c r="L84" s="180"/>
      <x:c r="M84" s="180"/>
      <x:c r="N84" s="180"/>
      <x:c r="O84" s="180"/>
      <x:c r="P84" s="180"/>
      <x:c r="Q84" s="180"/>
      <x:c r="R84" s="180"/>
      <x:c r="S84" s="180"/>
      <x:c r="T84" s="180"/>
      <x:c r="U84" s="180"/>
      <x:c r="V84" s="180"/>
      <x:c r="W84" s="180"/>
      <x:c r="X84" s="180"/>
      <x:c r="Y84" s="180"/>
      <x:c r="Z84" s="180"/>
      <x:c r="AA84" s="180"/>
      <x:c r="AB84" s="180"/>
      <x:c r="AC84" s="180"/>
      <x:c r="AD84" s="180"/>
      <x:c r="AE84" s="180"/>
      <x:c r="AF84" s="180"/>
      <x:c r="AG84" s="180"/>
      <x:c r="AH84" s="180"/>
      <x:c r="AI84" s="180"/>
      <x:c r="AJ84" s="180"/>
      <x:c r="AK84" s="180"/>
      <x:c r="AL84" s="180"/>
      <x:c r="AM84" s="180"/>
      <x:c r="AN84" s="180"/>
      <x:c r="AO84" s="180"/>
      <x:c r="AP84" s="180"/>
      <x:c r="AQ84" s="180"/>
      <x:c r="AR84" s="180"/>
      <x:c r="AS84" s="180"/>
      <x:c r="AT84" s="180"/>
      <x:c r="AU84" s="180"/>
      <x:c r="AV84" s="180"/>
      <x:c r="AW84" s="180"/>
      <x:c r="AX84" s="180"/>
      <x:c r="AY84" s="180"/>
      <x:c r="AZ84" s="180"/>
      <x:c r="BA84" s="180"/>
      <x:c r="BB84" s="180"/>
      <x:c r="BC84" s="180"/>
      <x:c r="BD84" s="180"/>
      <x:c r="BE84" s="180"/>
      <x:c r="BF84" s="180"/>
      <x:c r="BG84" s="180"/>
      <x:c r="BH84" s="180"/>
      <x:c r="BI84" s="180"/>
      <x:c r="BJ84" s="180"/>
      <x:c r="BK84" s="180"/>
      <x:c r="BL84" s="180"/>
      <x:c r="BM84" s="83"/>
      <x:c r="BN84" s="83"/>
    </x:row>
    <x:row r="85" ht="18" customHeight="1">
      <x:c r="A85" s="83"/>
      <x:c r="B85" s="83"/>
      <x:c r="C85" s="180"/>
      <x:c r="D85" s="180"/>
      <x:c r="E85" s="180"/>
      <x:c r="F85" s="180"/>
      <x:c r="G85" s="180"/>
      <x:c r="H85" s="180"/>
      <x:c r="I85" s="180"/>
      <x:c r="J85" s="180"/>
      <x:c r="K85" s="180"/>
      <x:c r="L85" s="180"/>
      <x:c r="M85" s="180"/>
      <x:c r="N85" s="180"/>
      <x:c r="O85" s="180"/>
      <x:c r="P85" s="180"/>
      <x:c r="Q85" s="180"/>
      <x:c r="R85" s="180"/>
      <x:c r="S85" s="180"/>
      <x:c r="T85" s="180"/>
      <x:c r="U85" s="180"/>
      <x:c r="V85" s="180"/>
      <x:c r="W85" s="180"/>
      <x:c r="X85" s="180"/>
      <x:c r="Y85" s="180"/>
      <x:c r="Z85" s="180"/>
      <x:c r="AA85" s="180"/>
      <x:c r="AB85" s="180"/>
      <x:c r="AC85" s="180"/>
      <x:c r="AD85" s="180"/>
      <x:c r="AE85" s="180"/>
      <x:c r="AF85" s="180"/>
      <x:c r="AG85" s="180"/>
      <x:c r="AH85" s="180"/>
      <x:c r="AI85" s="180"/>
      <x:c r="AJ85" s="180"/>
      <x:c r="AK85" s="180"/>
      <x:c r="AL85" s="180"/>
      <x:c r="AM85" s="180"/>
      <x:c r="AN85" s="180"/>
      <x:c r="AO85" s="180"/>
      <x:c r="AP85" s="180"/>
      <x:c r="AQ85" s="180"/>
      <x:c r="AR85" s="180"/>
      <x:c r="AS85" s="180"/>
      <x:c r="AT85" s="180"/>
      <x:c r="AU85" s="180"/>
      <x:c r="AV85" s="180"/>
      <x:c r="AW85" s="180"/>
      <x:c r="AX85" s="180"/>
      <x:c r="AY85" s="180"/>
      <x:c r="AZ85" s="180"/>
      <x:c r="BA85" s="180"/>
      <x:c r="BB85" s="180"/>
      <x:c r="BC85" s="180"/>
      <x:c r="BD85" s="180"/>
      <x:c r="BE85" s="180"/>
      <x:c r="BF85" s="180"/>
      <x:c r="BG85" s="180"/>
      <x:c r="BH85" s="180"/>
      <x:c r="BI85" s="180"/>
      <x:c r="BJ85" s="180"/>
      <x:c r="BK85" s="180"/>
      <x:c r="BL85" s="180"/>
      <x:c r="BM85" s="83"/>
      <x:c r="BN85" s="83"/>
    </x:row>
    <x:row r="86" ht="18" customHeight="1">
      <x:c r="A86" s="83"/>
      <x:c r="B86" s="83"/>
      <x:c r="C86" s="83"/>
      <x:c r="D86" s="83"/>
      <x:c r="E86" s="83"/>
      <x:c r="F86" s="83"/>
      <x:c r="G86" s="83"/>
      <x:c r="H86" s="83"/>
      <x:c r="I86" s="83"/>
      <x:c r="J86" s="83"/>
      <x:c r="K86" s="83"/>
      <x:c r="L86" s="83"/>
      <x:c r="M86" s="83"/>
      <x:c r="N86" s="83"/>
      <x:c r="O86" s="83"/>
      <x:c r="P86" s="83"/>
      <x:c r="Q86" s="83"/>
      <x:c r="R86" s="83"/>
      <x:c r="S86" s="83"/>
      <x:c r="T86" s="83"/>
      <x:c r="U86" s="83"/>
      <x:c r="V86" s="83"/>
      <x:c r="W86" s="83"/>
      <x:c r="X86" s="83"/>
      <x:c r="Y86" s="83"/>
      <x:c r="Z86" s="83"/>
      <x:c r="AA86" s="83"/>
      <x:c r="AB86" s="83"/>
      <x:c r="AC86" s="83"/>
      <x:c r="AD86" s="83"/>
      <x:c r="AE86" s="83"/>
      <x:c r="AF86" s="83"/>
      <x:c r="AG86" s="83"/>
      <x:c r="AH86" s="83"/>
      <x:c r="AI86" s="83"/>
      <x:c r="AJ86" s="83"/>
      <x:c r="AK86" s="83"/>
      <x:c r="AL86" s="83"/>
      <x:c r="AM86" s="83"/>
      <x:c r="AN86" s="83"/>
      <x:c r="AO86" s="83"/>
      <x:c r="AP86" s="83"/>
      <x:c r="AQ86" s="83"/>
      <x:c r="AR86" s="83"/>
      <x:c r="AS86" s="83"/>
      <x:c r="AT86" s="83"/>
      <x:c r="AU86" s="83"/>
      <x:c r="AV86" s="83"/>
      <x:c r="AW86" s="83"/>
      <x:c r="AX86" s="83"/>
      <x:c r="AY86" s="83"/>
      <x:c r="AZ86" s="83"/>
      <x:c r="BA86" s="83"/>
      <x:c r="BB86" s="83"/>
      <x:c r="BC86" s="83"/>
      <x:c r="BD86" s="83"/>
      <x:c r="BE86" s="83"/>
      <x:c r="BF86" s="83"/>
      <x:c r="BG86" s="83"/>
      <x:c r="BH86" s="83"/>
      <x:c r="BI86" s="83"/>
      <x:c r="BJ86" s="83"/>
      <x:c r="BK86" s="83"/>
      <x:c r="BL86" s="83"/>
      <x:c r="BM86" s="83"/>
      <x:c r="BN86" s="83"/>
    </x:row>
    <x:row r="87" ht="18" customHeight="1">
      <x:c r="A87" s="83"/>
      <x:c r="B87" s="83"/>
      <x:c r="C87" s="147" t="str">
        <x:v>Indices are non-additive and conditional on assumptions. Total splits the same funding pool and reference cohort. Each workflow is calculated before aggregation; the exposure-weighted AI baseline determines the combined multiple. See Inputs for sources and editable weights.</x:v>
      </x:c>
      <x:c r="D87" s="147"/>
      <x:c r="E87" s="147"/>
      <x:c r="F87" s="147"/>
      <x:c r="G87" s="147"/>
      <x:c r="H87" s="147"/>
      <x:c r="I87" s="147"/>
      <x:c r="J87" s="147"/>
      <x:c r="K87" s="147"/>
      <x:c r="L87" s="147"/>
      <x:c r="M87" s="147"/>
      <x:c r="N87" s="147"/>
      <x:c r="O87" s="147"/>
      <x:c r="P87" s="147"/>
      <x:c r="Q87" s="147"/>
      <x:c r="R87" s="147"/>
      <x:c r="S87" s="147"/>
      <x:c r="T87" s="147"/>
      <x:c r="U87" s="147"/>
      <x:c r="V87" s="147"/>
      <x:c r="W87" s="147"/>
      <x:c r="X87" s="147"/>
      <x:c r="Y87" s="147"/>
      <x:c r="Z87" s="147"/>
      <x:c r="AA87" s="147"/>
      <x:c r="AB87" s="147"/>
      <x:c r="AC87" s="147"/>
      <x:c r="AD87" s="147"/>
      <x:c r="AE87" s="147"/>
      <x:c r="AF87" s="147"/>
      <x:c r="AG87" s="147"/>
      <x:c r="AH87" s="147"/>
      <x:c r="AI87" s="147"/>
      <x:c r="AJ87" s="147"/>
      <x:c r="AK87" s="147"/>
      <x:c r="AL87" s="147"/>
      <x:c r="AM87" s="147"/>
      <x:c r="AN87" s="147"/>
      <x:c r="AO87" s="147"/>
      <x:c r="AP87" s="147"/>
      <x:c r="AQ87" s="147"/>
      <x:c r="AR87" s="147"/>
      <x:c r="AS87" s="147"/>
      <x:c r="AT87" s="147"/>
      <x:c r="AU87" s="147"/>
      <x:c r="AV87" s="147"/>
      <x:c r="AW87" s="147"/>
      <x:c r="AX87" s="147"/>
      <x:c r="AY87" s="147"/>
      <x:c r="AZ87" s="147"/>
      <x:c r="BA87" s="147"/>
      <x:c r="BB87" s="147"/>
      <x:c r="BC87" s="147"/>
      <x:c r="BD87" s="147"/>
      <x:c r="BE87" s="147"/>
      <x:c r="BF87" s="147"/>
      <x:c r="BG87" s="147"/>
      <x:c r="BH87" s="147"/>
      <x:c r="BI87" s="147"/>
      <x:c r="BJ87" s="147"/>
      <x:c r="BK87" s="147"/>
      <x:c r="BL87" s="147"/>
      <x:c r="BM87" s="83"/>
      <x:c r="BN87" s="83"/>
    </x:row>
    <x:row r="88" ht="18" customHeight="1">
      <x:c r="A88" s="83"/>
      <x:c r="B88" s="83"/>
      <x:c r="C88" s="147"/>
      <x:c r="D88" s="147"/>
      <x:c r="E88" s="147"/>
      <x:c r="F88" s="147"/>
      <x:c r="G88" s="147"/>
      <x:c r="H88" s="147"/>
      <x:c r="I88" s="147"/>
      <x:c r="J88" s="147"/>
      <x:c r="K88" s="147"/>
      <x:c r="L88" s="147"/>
      <x:c r="M88" s="147"/>
      <x:c r="N88" s="147"/>
      <x:c r="O88" s="147"/>
      <x:c r="P88" s="147"/>
      <x:c r="Q88" s="147"/>
      <x:c r="R88" s="147"/>
      <x:c r="S88" s="147"/>
      <x:c r="T88" s="147"/>
      <x:c r="U88" s="147"/>
      <x:c r="V88" s="147"/>
      <x:c r="W88" s="147"/>
      <x:c r="X88" s="147"/>
      <x:c r="Y88" s="147"/>
      <x:c r="Z88" s="147"/>
      <x:c r="AA88" s="147"/>
      <x:c r="AB88" s="147"/>
      <x:c r="AC88" s="147"/>
      <x:c r="AD88" s="147"/>
      <x:c r="AE88" s="147"/>
      <x:c r="AF88" s="147"/>
      <x:c r="AG88" s="147"/>
      <x:c r="AH88" s="147"/>
      <x:c r="AI88" s="147"/>
      <x:c r="AJ88" s="147"/>
      <x:c r="AK88" s="147"/>
      <x:c r="AL88" s="147"/>
      <x:c r="AM88" s="147"/>
      <x:c r="AN88" s="147"/>
      <x:c r="AO88" s="147"/>
      <x:c r="AP88" s="147"/>
      <x:c r="AQ88" s="147"/>
      <x:c r="AR88" s="147"/>
      <x:c r="AS88" s="147"/>
      <x:c r="AT88" s="147"/>
      <x:c r="AU88" s="147"/>
      <x:c r="AV88" s="147"/>
      <x:c r="AW88" s="147"/>
      <x:c r="AX88" s="147"/>
      <x:c r="AY88" s="147"/>
      <x:c r="AZ88" s="147"/>
      <x:c r="BA88" s="147"/>
      <x:c r="BB88" s="147"/>
      <x:c r="BC88" s="147"/>
      <x:c r="BD88" s="147"/>
      <x:c r="BE88" s="147"/>
      <x:c r="BF88" s="147"/>
      <x:c r="BG88" s="147"/>
      <x:c r="BH88" s="147"/>
      <x:c r="BI88" s="147"/>
      <x:c r="BJ88" s="147"/>
      <x:c r="BK88" s="147"/>
      <x:c r="BL88" s="147"/>
      <x:c r="BM88" s="83"/>
      <x:c r="BN88" s="83"/>
    </x:row>
    <x:row r="89" ht="18" customHeight="1">
      <x:c r="A89" s="83"/>
      <x:c r="B89" s="83"/>
      <x:c r="C89" s="147"/>
      <x:c r="D89" s="147"/>
      <x:c r="E89" s="147"/>
      <x:c r="F89" s="147"/>
      <x:c r="G89" s="147"/>
      <x:c r="H89" s="147"/>
      <x:c r="I89" s="147"/>
      <x:c r="J89" s="147"/>
      <x:c r="K89" s="147"/>
      <x:c r="L89" s="147"/>
      <x:c r="M89" s="147"/>
      <x:c r="N89" s="147"/>
      <x:c r="O89" s="147"/>
      <x:c r="P89" s="147"/>
      <x:c r="Q89" s="147"/>
      <x:c r="R89" s="147"/>
      <x:c r="S89" s="147"/>
      <x:c r="T89" s="147"/>
      <x:c r="U89" s="147"/>
      <x:c r="V89" s="147"/>
      <x:c r="W89" s="147"/>
      <x:c r="X89" s="147"/>
      <x:c r="Y89" s="147"/>
      <x:c r="Z89" s="147"/>
      <x:c r="AA89" s="147"/>
      <x:c r="AB89" s="147"/>
      <x:c r="AC89" s="147"/>
      <x:c r="AD89" s="147"/>
      <x:c r="AE89" s="147"/>
      <x:c r="AF89" s="147"/>
      <x:c r="AG89" s="147"/>
      <x:c r="AH89" s="147"/>
      <x:c r="AI89" s="147"/>
      <x:c r="AJ89" s="147"/>
      <x:c r="AK89" s="147"/>
      <x:c r="AL89" s="147"/>
      <x:c r="AM89" s="147"/>
      <x:c r="AN89" s="147"/>
      <x:c r="AO89" s="147"/>
      <x:c r="AP89" s="147"/>
      <x:c r="AQ89" s="147"/>
      <x:c r="AR89" s="147"/>
      <x:c r="AS89" s="147"/>
      <x:c r="AT89" s="147"/>
      <x:c r="AU89" s="147"/>
      <x:c r="AV89" s="147"/>
      <x:c r="AW89" s="147"/>
      <x:c r="AX89" s="147"/>
      <x:c r="AY89" s="147"/>
      <x:c r="AZ89" s="147"/>
      <x:c r="BA89" s="147"/>
      <x:c r="BB89" s="147"/>
      <x:c r="BC89" s="147"/>
      <x:c r="BD89" s="147"/>
      <x:c r="BE89" s="147"/>
      <x:c r="BF89" s="147"/>
      <x:c r="BG89" s="147"/>
      <x:c r="BH89" s="147"/>
      <x:c r="BI89" s="147"/>
      <x:c r="BJ89" s="147"/>
      <x:c r="BK89" s="147"/>
      <x:c r="BL89" s="147"/>
      <x:c r="BM89" s="83"/>
      <x:c r="BN89" s="83"/>
    </x:row>
    <x:row r="90" ht="18" customHeight="1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83"/>
      <x:c r="R90" s="83"/>
      <x:c r="S90" s="83"/>
      <x:c r="T90" s="83"/>
      <x:c r="U90" s="83"/>
      <x:c r="V90" s="83"/>
      <x:c r="W90" s="83"/>
      <x:c r="X90" s="83"/>
      <x:c r="Y90" s="83"/>
      <x:c r="Z90" s="83"/>
      <x:c r="AA90" s="83"/>
      <x:c r="AB90" s="83"/>
      <x:c r="AC90" s="83"/>
      <x:c r="AD90" s="83"/>
      <x:c r="AE90" s="83"/>
      <x:c r="AF90" s="83"/>
      <x:c r="AG90" s="83"/>
      <x:c r="AH90" s="83"/>
      <x:c r="AI90" s="83"/>
      <x:c r="AJ90" s="83"/>
      <x:c r="AK90" s="83"/>
      <x:c r="AL90" s="83"/>
      <x:c r="AM90" s="83"/>
      <x:c r="AN90" s="83"/>
      <x:c r="AO90" s="83"/>
      <x:c r="AP90" s="83"/>
      <x:c r="AQ90" s="83"/>
      <x:c r="AR90" s="83"/>
      <x:c r="AS90" s="83"/>
      <x:c r="AT90" s="83"/>
      <x:c r="AU90" s="83"/>
      <x:c r="AV90" s="83"/>
      <x:c r="AW90" s="83"/>
      <x:c r="AX90" s="83"/>
      <x:c r="AY90" s="83"/>
      <x:c r="AZ90" s="83"/>
      <x:c r="BA90" s="83"/>
      <x:c r="BB90" s="83"/>
      <x:c r="BC90" s="83"/>
      <x:c r="BD90" s="83"/>
      <x:c r="BE90" s="83"/>
      <x:c r="BF90" s="83"/>
      <x:c r="BG90" s="83"/>
      <x:c r="BH90" s="83"/>
      <x:c r="BI90" s="83"/>
      <x:c r="BJ90" s="83"/>
      <x:c r="BK90" s="83"/>
      <x:c r="BL90" s="83"/>
      <x:c r="BM90" s="83"/>
      <x:c r="BN90" s="83"/>
    </x:row>
    <x:row r="91" ht="18" customHeight="1">
      <x:c r="A91" s="83"/>
      <x:c r="B91" s="83"/>
      <x:c r="C91" s="182" t="str">
        <x:v>SUPPORTING CHARTS · FORMULA-LINKED</x:v>
      </x:c>
      <x:c r="D91" s="182"/>
      <x:c r="E91" s="182"/>
      <x:c r="F91" s="182"/>
      <x:c r="G91" s="182"/>
      <x:c r="H91" s="182"/>
      <x:c r="I91" s="182"/>
      <x:c r="J91" s="182"/>
      <x:c r="K91" s="182"/>
      <x:c r="L91" s="182"/>
      <x:c r="M91" s="182"/>
      <x:c r="N91" s="182"/>
      <x:c r="O91" s="182"/>
      <x:c r="P91" s="182"/>
      <x:c r="Q91" s="182"/>
      <x:c r="R91" s="182"/>
      <x:c r="S91" s="182"/>
      <x:c r="T91" s="182"/>
      <x:c r="U91" s="182"/>
      <x:c r="V91" s="182"/>
      <x:c r="W91" s="182"/>
      <x:c r="X91" s="182"/>
      <x:c r="Y91" s="182"/>
      <x:c r="Z91" s="182"/>
      <x:c r="AA91" s="182"/>
      <x:c r="AB91" s="182"/>
      <x:c r="AC91" s="182"/>
      <x:c r="AD91" s="182"/>
      <x:c r="AE91" s="182"/>
      <x:c r="AF91" s="182"/>
      <x:c r="AG91" s="182"/>
      <x:c r="AH91" s="182"/>
      <x:c r="AI91" s="182"/>
      <x:c r="AJ91" s="182"/>
      <x:c r="AK91" s="182"/>
      <x:c r="AL91" s="182"/>
      <x:c r="AM91" s="182"/>
      <x:c r="AN91" s="182"/>
      <x:c r="AO91" s="182"/>
      <x:c r="AP91" s="182"/>
      <x:c r="AQ91" s="182"/>
      <x:c r="AR91" s="182"/>
      <x:c r="AS91" s="182"/>
      <x:c r="AT91" s="182"/>
      <x:c r="AU91" s="182"/>
      <x:c r="AV91" s="182"/>
      <x:c r="AW91" s="182"/>
      <x:c r="AX91" s="182"/>
      <x:c r="AY91" s="182"/>
      <x:c r="AZ91" s="182"/>
      <x:c r="BA91" s="182"/>
      <x:c r="BB91" s="182"/>
      <x:c r="BC91" s="182"/>
      <x:c r="BD91" s="182"/>
      <x:c r="BE91" s="182"/>
      <x:c r="BF91" s="182"/>
      <x:c r="BG91" s="182"/>
      <x:c r="BH91" s="182"/>
      <x:c r="BI91" s="182"/>
      <x:c r="BJ91" s="182"/>
      <x:c r="BK91" s="182"/>
      <x:c r="BL91" s="182"/>
      <x:c r="BM91" s="83"/>
      <x:c r="BN91" s="83"/>
    </x:row>
    <x:row r="92" ht="18" customHeight="1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83"/>
      <x:c r="R92" s="83"/>
      <x:c r="S92" s="83"/>
      <x:c r="T92" s="83"/>
      <x:c r="U92" s="83"/>
      <x:c r="V92" s="83"/>
      <x:c r="W92" s="83"/>
      <x:c r="X92" s="83"/>
      <x:c r="Y92" s="83"/>
      <x:c r="Z92" s="83"/>
      <x:c r="AA92" s="83"/>
      <x:c r="AB92" s="83"/>
      <x:c r="AC92" s="83"/>
      <x:c r="AD92" s="83"/>
      <x:c r="AE92" s="83"/>
      <x:c r="AF92" s="83"/>
      <x:c r="AG92" s="83"/>
      <x:c r="AH92" s="83"/>
      <x:c r="AI92" s="83"/>
      <x:c r="AJ92" s="83"/>
      <x:c r="AK92" s="83"/>
      <x:c r="AL92" s="83"/>
      <x:c r="AM92" s="83"/>
      <x:c r="AN92" s="83"/>
      <x:c r="AO92" s="83"/>
      <x:c r="AP92" s="83"/>
      <x:c r="AQ92" s="83"/>
      <x:c r="AR92" s="83"/>
      <x:c r="AS92" s="83"/>
      <x:c r="AT92" s="83"/>
      <x:c r="AU92" s="83"/>
      <x:c r="AV92" s="83"/>
      <x:c r="AW92" s="83"/>
      <x:c r="AX92" s="83"/>
      <x:c r="AY92" s="83"/>
      <x:c r="AZ92" s="83"/>
      <x:c r="BA92" s="83"/>
      <x:c r="BB92" s="83"/>
      <x:c r="BC92" s="83"/>
      <x:c r="BD92" s="83"/>
      <x:c r="BE92" s="83"/>
      <x:c r="BF92" s="83"/>
      <x:c r="BG92" s="83"/>
      <x:c r="BH92" s="83"/>
      <x:c r="BI92" s="83"/>
      <x:c r="BJ92" s="83"/>
      <x:c r="BK92" s="83"/>
      <x:c r="BL92" s="83"/>
      <x:c r="BM92" s="83"/>
      <x:c r="BN92" s="83"/>
    </x:row>
    <x:row r="93" ht="18" customHeight="1">
      <x:c r="A93" s="83"/>
      <x:c r="B93" s="83"/>
      <x:c r="C93" s="83"/>
      <x:c r="D93" s="83"/>
      <x:c r="E93" s="83"/>
      <x:c r="F93" s="83"/>
      <x:c r="G93" s="83"/>
      <x:c r="H93" s="83"/>
      <x:c r="I93" s="83"/>
      <x:c r="J93" s="83"/>
      <x:c r="K93" s="83"/>
      <x:c r="L93" s="83"/>
      <x:c r="M93" s="83"/>
      <x:c r="N93" s="83"/>
      <x:c r="O93" s="83"/>
      <x:c r="P93" s="83"/>
      <x:c r="Q93" s="83"/>
      <x:c r="R93" s="83"/>
      <x:c r="S93" s="83"/>
      <x:c r="T93" s="83"/>
      <x:c r="U93" s="83"/>
      <x:c r="V93" s="83"/>
      <x:c r="W93" s="83"/>
      <x:c r="X93" s="83"/>
      <x:c r="Y93" s="83"/>
      <x:c r="Z93" s="83"/>
      <x:c r="AA93" s="83"/>
      <x:c r="AB93" s="83"/>
      <x:c r="AC93" s="83"/>
      <x:c r="AD93" s="83"/>
      <x:c r="AE93" s="83"/>
      <x:c r="AF93" s="83"/>
      <x:c r="AG93" s="83"/>
      <x:c r="AH93" s="83"/>
      <x:c r="AI93" s="83"/>
      <x:c r="AJ93" s="83"/>
      <x:c r="AK93" s="83"/>
      <x:c r="AL93" s="83"/>
      <x:c r="AM93" s="83"/>
      <x:c r="AN93" s="83"/>
      <x:c r="AO93" s="83"/>
      <x:c r="AP93" s="83"/>
      <x:c r="AQ93" s="83"/>
      <x:c r="AR93" s="83"/>
      <x:c r="AS93" s="83"/>
      <x:c r="AT93" s="83"/>
      <x:c r="AU93" s="83"/>
      <x:c r="AV93" s="83"/>
      <x:c r="AW93" s="83"/>
      <x:c r="AX93" s="83"/>
      <x:c r="AY93" s="83"/>
      <x:c r="AZ93" s="83"/>
      <x:c r="BA93" s="83"/>
      <x:c r="BB93" s="83"/>
      <x:c r="BC93" s="83"/>
      <x:c r="BD93" s="83"/>
      <x:c r="BE93" s="83"/>
      <x:c r="BF93" s="83"/>
      <x:c r="BG93" s="83"/>
      <x:c r="BH93" s="83"/>
      <x:c r="BI93" s="83"/>
      <x:c r="BJ93" s="83"/>
      <x:c r="BK93" s="83"/>
      <x:c r="BL93" s="83"/>
      <x:c r="BM93" s="83"/>
      <x:c r="BN93" s="83"/>
    </x:row>
    <x:row r="94" ht="18" customHeight="1">
      <x:c r="A94" s="83"/>
      <x:c r="B94" s="83"/>
      <x:c r="C94" s="83"/>
      <x:c r="D94" s="83"/>
      <x:c r="E94" s="83"/>
      <x:c r="F94" s="83"/>
      <x:c r="G94" s="83"/>
      <x:c r="H94" s="83"/>
      <x:c r="I94" s="83"/>
      <x:c r="J94" s="83"/>
      <x:c r="K94" s="83"/>
      <x:c r="L94" s="83"/>
      <x:c r="M94" s="83"/>
      <x:c r="N94" s="83"/>
      <x:c r="O94" s="83"/>
      <x:c r="P94" s="83"/>
      <x:c r="Q94" s="83"/>
      <x:c r="R94" s="83"/>
      <x:c r="S94" s="83"/>
      <x:c r="T94" s="83"/>
      <x:c r="U94" s="83"/>
      <x:c r="V94" s="83"/>
      <x:c r="W94" s="83"/>
      <x:c r="X94" s="83"/>
      <x:c r="Y94" s="83"/>
      <x:c r="Z94" s="83"/>
      <x:c r="AA94" s="83"/>
      <x:c r="AB94" s="83"/>
      <x:c r="AC94" s="83"/>
      <x:c r="AD94" s="83"/>
      <x:c r="AE94" s="83"/>
      <x:c r="AF94" s="83"/>
      <x:c r="AG94" s="83"/>
      <x:c r="AH94" s="83"/>
      <x:c r="AI94" s="83"/>
      <x:c r="AJ94" s="83"/>
      <x:c r="AK94" s="83"/>
      <x:c r="AL94" s="83"/>
      <x:c r="AM94" s="83"/>
      <x:c r="AN94" s="83"/>
      <x:c r="AO94" s="83"/>
      <x:c r="AP94" s="83"/>
      <x:c r="AQ94" s="83"/>
      <x:c r="AR94" s="83"/>
      <x:c r="AS94" s="83"/>
      <x:c r="AT94" s="83"/>
      <x:c r="AU94" s="83"/>
      <x:c r="AV94" s="83"/>
      <x:c r="AW94" s="83"/>
      <x:c r="AX94" s="83"/>
      <x:c r="AY94" s="83"/>
      <x:c r="AZ94" s="83"/>
      <x:c r="BA94" s="83"/>
      <x:c r="BB94" s="83"/>
      <x:c r="BC94" s="83"/>
      <x:c r="BD94" s="83"/>
      <x:c r="BE94" s="83"/>
      <x:c r="BF94" s="83"/>
      <x:c r="BG94" s="83"/>
      <x:c r="BH94" s="83"/>
      <x:c r="BI94" s="83"/>
      <x:c r="BJ94" s="83"/>
      <x:c r="BK94" s="83"/>
      <x:c r="BL94" s="83"/>
      <x:c r="BM94" s="83"/>
      <x:c r="BN94" s="83"/>
    </x:row>
    <x:row r="95" ht="18" customHeight="1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83"/>
      <x:c r="R95" s="83"/>
      <x:c r="S95" s="83"/>
      <x:c r="T95" s="83"/>
      <x:c r="U95" s="83"/>
      <x:c r="V95" s="83"/>
      <x:c r="W95" s="83"/>
      <x:c r="X95" s="83"/>
      <x:c r="Y95" s="83"/>
      <x:c r="Z95" s="83"/>
      <x:c r="AA95" s="83"/>
      <x:c r="AB95" s="83"/>
      <x:c r="AC95" s="83"/>
      <x:c r="AD95" s="83"/>
      <x:c r="AE95" s="83"/>
      <x:c r="AF95" s="83"/>
      <x:c r="AG95" s="83"/>
      <x:c r="AH95" s="83"/>
      <x:c r="AI95" s="83"/>
      <x:c r="AJ95" s="83"/>
      <x:c r="AK95" s="83"/>
      <x:c r="AL95" s="83"/>
      <x:c r="AM95" s="83"/>
      <x:c r="AN95" s="83"/>
      <x:c r="AO95" s="83"/>
      <x:c r="AP95" s="83"/>
      <x:c r="AQ95" s="83"/>
      <x:c r="AR95" s="83"/>
      <x:c r="AS95" s="83"/>
      <x:c r="AT95" s="83"/>
      <x:c r="AU95" s="83"/>
      <x:c r="AV95" s="83"/>
      <x:c r="AW95" s="83"/>
      <x:c r="AX95" s="83"/>
      <x:c r="AY95" s="83"/>
      <x:c r="AZ95" s="83"/>
      <x:c r="BA95" s="83"/>
      <x:c r="BB95" s="83"/>
      <x:c r="BC95" s="83"/>
      <x:c r="BD95" s="83"/>
      <x:c r="BE95" s="83"/>
      <x:c r="BF95" s="83"/>
      <x:c r="BG95" s="83"/>
      <x:c r="BH95" s="83"/>
      <x:c r="BI95" s="83"/>
      <x:c r="BJ95" s="83"/>
      <x:c r="BK95" s="83"/>
      <x:c r="BL95" s="83"/>
      <x:c r="BM95" s="83"/>
      <x:c r="BN95" s="83"/>
    </x:row>
    <x:row r="96" ht="18" customHeight="1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83"/>
      <x:c r="R96" s="83"/>
      <x:c r="S96" s="83"/>
      <x:c r="T96" s="83"/>
      <x:c r="U96" s="83"/>
      <x:c r="V96" s="83"/>
      <x:c r="W96" s="83"/>
      <x:c r="X96" s="83"/>
      <x:c r="Y96" s="83"/>
      <x:c r="Z96" s="83"/>
      <x:c r="AA96" s="83"/>
      <x:c r="AB96" s="83"/>
      <x:c r="AC96" s="83"/>
      <x:c r="AD96" s="83"/>
      <x:c r="AE96" s="83"/>
      <x:c r="AF96" s="83"/>
      <x:c r="AG96" s="83"/>
      <x:c r="AH96" s="83"/>
      <x:c r="AI96" s="83"/>
      <x:c r="AJ96" s="83"/>
      <x:c r="AK96" s="83"/>
      <x:c r="AL96" s="83"/>
      <x:c r="AM96" s="83"/>
      <x:c r="AN96" s="83"/>
      <x:c r="AO96" s="83"/>
      <x:c r="AP96" s="83"/>
      <x:c r="AQ96" s="83"/>
      <x:c r="AR96" s="83"/>
      <x:c r="AS96" s="83"/>
      <x:c r="AT96" s="83"/>
      <x:c r="AU96" s="83"/>
      <x:c r="AV96" s="83"/>
      <x:c r="AW96" s="83"/>
      <x:c r="AX96" s="83"/>
      <x:c r="AY96" s="83"/>
      <x:c r="AZ96" s="83"/>
      <x:c r="BA96" s="83"/>
      <x:c r="BB96" s="83"/>
      <x:c r="BC96" s="83"/>
      <x:c r="BD96" s="83"/>
      <x:c r="BE96" s="83"/>
      <x:c r="BF96" s="83"/>
      <x:c r="BG96" s="83"/>
      <x:c r="BH96" s="83"/>
      <x:c r="BI96" s="83"/>
      <x:c r="BJ96" s="83"/>
      <x:c r="BK96" s="83"/>
      <x:c r="BL96" s="83"/>
      <x:c r="BM96" s="83"/>
      <x:c r="BN96" s="83"/>
    </x:row>
    <x:row r="97" ht="18" customHeight="1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83"/>
      <x:c r="R97" s="83"/>
      <x:c r="S97" s="83"/>
      <x:c r="T97" s="83"/>
      <x:c r="U97" s="83"/>
      <x:c r="V97" s="83"/>
      <x:c r="W97" s="83"/>
      <x:c r="X97" s="83"/>
      <x:c r="Y97" s="83"/>
      <x:c r="Z97" s="83"/>
      <x:c r="AA97" s="83"/>
      <x:c r="AB97" s="83"/>
      <x:c r="AC97" s="83"/>
      <x:c r="AD97" s="83"/>
      <x:c r="AE97" s="83"/>
      <x:c r="AF97" s="83"/>
      <x:c r="AG97" s="83"/>
      <x:c r="AH97" s="83"/>
      <x:c r="AI97" s="83"/>
      <x:c r="AJ97" s="83"/>
      <x:c r="AK97" s="83"/>
      <x:c r="AL97" s="83"/>
      <x:c r="AM97" s="83"/>
      <x:c r="AN97" s="83"/>
      <x:c r="AO97" s="83"/>
      <x:c r="AP97" s="83"/>
      <x:c r="AQ97" s="83"/>
      <x:c r="AR97" s="83"/>
      <x:c r="AS97" s="83"/>
      <x:c r="AT97" s="83"/>
      <x:c r="AU97" s="83"/>
      <x:c r="AV97" s="83"/>
      <x:c r="AW97" s="83"/>
      <x:c r="AX97" s="83"/>
      <x:c r="AY97" s="83"/>
      <x:c r="AZ97" s="83"/>
      <x:c r="BA97" s="83"/>
      <x:c r="BB97" s="83"/>
      <x:c r="BC97" s="83"/>
      <x:c r="BD97" s="83"/>
      <x:c r="BE97" s="83"/>
      <x:c r="BF97" s="83"/>
      <x:c r="BG97" s="83"/>
      <x:c r="BH97" s="83"/>
      <x:c r="BI97" s="83"/>
      <x:c r="BJ97" s="83"/>
      <x:c r="BK97" s="83"/>
      <x:c r="BL97" s="83"/>
      <x:c r="BM97" s="83"/>
      <x:c r="BN97" s="83"/>
    </x:row>
    <x:row r="98" ht="18" customHeight="1">
      <x:c r="A98" s="83"/>
      <x:c r="B98" s="83"/>
      <x:c r="C98" s="83"/>
      <x:c r="D98" s="83"/>
      <x:c r="E98" s="83"/>
      <x:c r="F98" s="83"/>
      <x:c r="G98" s="83"/>
      <x:c r="H98" s="83"/>
      <x:c r="I98" s="83"/>
      <x:c r="J98" s="83"/>
      <x:c r="K98" s="83"/>
      <x:c r="L98" s="83"/>
      <x:c r="M98" s="83"/>
      <x:c r="N98" s="83"/>
      <x:c r="O98" s="83"/>
      <x:c r="P98" s="83"/>
      <x:c r="Q98" s="83"/>
      <x:c r="R98" s="83"/>
      <x:c r="S98" s="83"/>
      <x:c r="T98" s="83"/>
      <x:c r="U98" s="83"/>
      <x:c r="V98" s="83"/>
      <x:c r="W98" s="83"/>
      <x:c r="X98" s="83"/>
      <x:c r="Y98" s="83"/>
      <x:c r="Z98" s="83"/>
      <x:c r="AA98" s="83"/>
      <x:c r="AB98" s="83"/>
      <x:c r="AC98" s="83"/>
      <x:c r="AD98" s="83"/>
      <x:c r="AE98" s="83"/>
      <x:c r="AF98" s="83"/>
      <x:c r="AG98" s="83"/>
      <x:c r="AH98" s="83"/>
      <x:c r="AI98" s="83"/>
      <x:c r="AJ98" s="83"/>
      <x:c r="AK98" s="83"/>
      <x:c r="AL98" s="83"/>
      <x:c r="AM98" s="83"/>
      <x:c r="AN98" s="83"/>
      <x:c r="AO98" s="83"/>
      <x:c r="AP98" s="83"/>
      <x:c r="AQ98" s="83"/>
      <x:c r="AR98" s="83"/>
      <x:c r="AS98" s="83"/>
      <x:c r="AT98" s="83"/>
      <x:c r="AU98" s="83"/>
      <x:c r="AV98" s="83"/>
      <x:c r="AW98" s="83"/>
      <x:c r="AX98" s="83"/>
      <x:c r="AY98" s="83"/>
      <x:c r="AZ98" s="83"/>
      <x:c r="BA98" s="83"/>
      <x:c r="BB98" s="83"/>
      <x:c r="BC98" s="83"/>
      <x:c r="BD98" s="83"/>
      <x:c r="BE98" s="83"/>
      <x:c r="BF98" s="83"/>
      <x:c r="BG98" s="83"/>
      <x:c r="BH98" s="83"/>
      <x:c r="BI98" s="83"/>
      <x:c r="BJ98" s="83"/>
      <x:c r="BK98" s="83"/>
      <x:c r="BL98" s="83"/>
      <x:c r="BM98" s="83"/>
      <x:c r="BN98" s="83"/>
    </x:row>
    <x:row r="99" ht="18" customHeight="1">
      <x:c r="A99" s="83"/>
      <x:c r="B99" s="83"/>
      <x:c r="C99" s="83"/>
      <x:c r="D99" s="83"/>
      <x:c r="E99" s="83"/>
      <x:c r="F99" s="83"/>
      <x:c r="G99" s="83"/>
      <x:c r="H99" s="83"/>
      <x:c r="I99" s="83"/>
      <x:c r="J99" s="83"/>
      <x:c r="K99" s="83"/>
      <x:c r="L99" s="83"/>
      <x:c r="M99" s="83"/>
      <x:c r="N99" s="83"/>
      <x:c r="O99" s="83"/>
      <x:c r="P99" s="83"/>
      <x:c r="Q99" s="83"/>
      <x:c r="R99" s="83"/>
      <x:c r="S99" s="83"/>
      <x:c r="T99" s="83"/>
      <x:c r="U99" s="83"/>
      <x:c r="V99" s="83"/>
      <x:c r="W99" s="83"/>
      <x:c r="X99" s="83"/>
      <x:c r="Y99" s="83"/>
      <x:c r="Z99" s="83"/>
      <x:c r="AA99" s="83"/>
      <x:c r="AB99" s="83"/>
      <x:c r="AC99" s="83"/>
      <x:c r="AD99" s="83"/>
      <x:c r="AE99" s="83"/>
      <x:c r="AF99" s="83"/>
      <x:c r="AG99" s="83"/>
      <x:c r="AH99" s="83"/>
      <x:c r="AI99" s="83"/>
      <x:c r="AJ99" s="83"/>
      <x:c r="AK99" s="83"/>
      <x:c r="AL99" s="83"/>
      <x:c r="AM99" s="83"/>
      <x:c r="AN99" s="83"/>
      <x:c r="AO99" s="83"/>
      <x:c r="AP99" s="83"/>
      <x:c r="AQ99" s="83"/>
      <x:c r="AR99" s="83"/>
      <x:c r="AS99" s="83"/>
      <x:c r="AT99" s="83"/>
      <x:c r="AU99" s="83"/>
      <x:c r="AV99" s="83"/>
      <x:c r="AW99" s="83"/>
      <x:c r="AX99" s="83"/>
      <x:c r="AY99" s="83"/>
      <x:c r="AZ99" s="83"/>
      <x:c r="BA99" s="83"/>
      <x:c r="BB99" s="83"/>
      <x:c r="BC99" s="83"/>
      <x:c r="BD99" s="83"/>
      <x:c r="BE99" s="83"/>
      <x:c r="BF99" s="83"/>
      <x:c r="BG99" s="83"/>
      <x:c r="BH99" s="83"/>
      <x:c r="BI99" s="83"/>
      <x:c r="BJ99" s="83"/>
      <x:c r="BK99" s="83"/>
      <x:c r="BL99" s="83"/>
      <x:c r="BM99" s="83"/>
      <x:c r="BN99" s="83"/>
    </x:row>
    <x:row r="100" ht="18" customHeight="1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83"/>
      <x:c r="R100" s="83"/>
      <x:c r="S100" s="83"/>
      <x:c r="T100" s="83"/>
      <x:c r="U100" s="83"/>
      <x:c r="V100" s="83"/>
      <x:c r="W100" s="83"/>
      <x:c r="X100" s="83"/>
      <x:c r="Y100" s="83"/>
      <x:c r="Z100" s="83"/>
      <x:c r="AA100" s="83"/>
      <x:c r="AB100" s="83"/>
      <x:c r="AC100" s="83"/>
      <x:c r="AD100" s="83"/>
      <x:c r="AE100" s="83"/>
      <x:c r="AF100" s="83"/>
      <x:c r="AG100" s="83"/>
      <x:c r="AH100" s="83"/>
      <x:c r="AI100" s="83"/>
      <x:c r="AJ100" s="83"/>
      <x:c r="AK100" s="83"/>
      <x:c r="AL100" s="83"/>
      <x:c r="AM100" s="83"/>
      <x:c r="AN100" s="83"/>
      <x:c r="AO100" s="83"/>
      <x:c r="AP100" s="83"/>
      <x:c r="AQ100" s="83"/>
      <x:c r="AR100" s="83"/>
      <x:c r="AS100" s="83"/>
      <x:c r="AT100" s="83"/>
      <x:c r="AU100" s="83"/>
      <x:c r="AV100" s="83"/>
      <x:c r="AW100" s="83"/>
      <x:c r="AX100" s="83"/>
      <x:c r="AY100" s="83"/>
      <x:c r="AZ100" s="83"/>
      <x:c r="BA100" s="83"/>
      <x:c r="BB100" s="83"/>
      <x:c r="BC100" s="83"/>
      <x:c r="BD100" s="83"/>
      <x:c r="BE100" s="83"/>
      <x:c r="BF100" s="83"/>
      <x:c r="BG100" s="83"/>
      <x:c r="BH100" s="83"/>
      <x:c r="BI100" s="83"/>
      <x:c r="BJ100" s="83"/>
      <x:c r="BK100" s="83"/>
      <x:c r="BL100" s="83"/>
      <x:c r="BM100" s="83"/>
      <x:c r="BN100" s="83"/>
    </x:row>
    <x:row r="101" ht="18" customHeight="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83"/>
      <x:c r="R101" s="83"/>
      <x:c r="S101" s="83"/>
      <x:c r="T101" s="83"/>
      <x:c r="U101" s="83"/>
      <x:c r="V101" s="83"/>
      <x:c r="W101" s="83"/>
      <x:c r="X101" s="83"/>
      <x:c r="Y101" s="83"/>
      <x:c r="Z101" s="83"/>
      <x:c r="AA101" s="83"/>
      <x:c r="AB101" s="83"/>
      <x:c r="AC101" s="83"/>
      <x:c r="AD101" s="83"/>
      <x:c r="AE101" s="83"/>
      <x:c r="AF101" s="83"/>
      <x:c r="AG101" s="83"/>
      <x:c r="AH101" s="83"/>
      <x:c r="AI101" s="83"/>
      <x:c r="AJ101" s="83"/>
      <x:c r="AK101" s="83"/>
      <x:c r="AL101" s="83"/>
      <x:c r="AM101" s="83"/>
      <x:c r="AN101" s="83"/>
      <x:c r="AO101" s="83"/>
      <x:c r="AP101" s="83"/>
      <x:c r="AQ101" s="83"/>
      <x:c r="AR101" s="83"/>
      <x:c r="AS101" s="83"/>
      <x:c r="AT101" s="83"/>
      <x:c r="AU101" s="83"/>
      <x:c r="AV101" s="83"/>
      <x:c r="AW101" s="83"/>
      <x:c r="AX101" s="83"/>
      <x:c r="AY101" s="83"/>
      <x:c r="AZ101" s="83"/>
      <x:c r="BA101" s="83"/>
      <x:c r="BB101" s="83"/>
      <x:c r="BC101" s="83"/>
      <x:c r="BD101" s="83"/>
      <x:c r="BE101" s="83"/>
      <x:c r="BF101" s="83"/>
      <x:c r="BG101" s="83"/>
      <x:c r="BH101" s="83"/>
      <x:c r="BI101" s="83"/>
      <x:c r="BJ101" s="83"/>
      <x:c r="BK101" s="83"/>
      <x:c r="BL101" s="83"/>
      <x:c r="BM101" s="83"/>
      <x:c r="BN101" s="83"/>
    </x:row>
    <x:row r="102" ht="18" customHeight="1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83"/>
      <x:c r="R102" s="83"/>
      <x:c r="S102" s="83"/>
      <x:c r="T102" s="83"/>
      <x:c r="U102" s="83"/>
      <x:c r="V102" s="83"/>
      <x:c r="W102" s="83"/>
      <x:c r="X102" s="83"/>
      <x:c r="Y102" s="83"/>
      <x:c r="Z102" s="83"/>
      <x:c r="AA102" s="83"/>
      <x:c r="AB102" s="83"/>
      <x:c r="AC102" s="83"/>
      <x:c r="AD102" s="83"/>
      <x:c r="AE102" s="83"/>
      <x:c r="AF102" s="83"/>
      <x:c r="AG102" s="83"/>
      <x:c r="AH102" s="83"/>
      <x:c r="AI102" s="83"/>
      <x:c r="AJ102" s="83"/>
      <x:c r="AK102" s="83"/>
      <x:c r="AL102" s="83"/>
      <x:c r="AM102" s="83"/>
      <x:c r="AN102" s="83"/>
      <x:c r="AO102" s="83"/>
      <x:c r="AP102" s="83"/>
      <x:c r="AQ102" s="83"/>
      <x:c r="AR102" s="83"/>
      <x:c r="AS102" s="83"/>
      <x:c r="AT102" s="83"/>
      <x:c r="AU102" s="83"/>
      <x:c r="AV102" s="83"/>
      <x:c r="AW102" s="83"/>
      <x:c r="AX102" s="83"/>
      <x:c r="AY102" s="83"/>
      <x:c r="AZ102" s="83"/>
      <x:c r="BA102" s="83"/>
      <x:c r="BB102" s="83"/>
      <x:c r="BC102" s="83"/>
      <x:c r="BD102" s="83"/>
      <x:c r="BE102" s="83"/>
      <x:c r="BF102" s="83"/>
      <x:c r="BG102" s="83"/>
      <x:c r="BH102" s="83"/>
      <x:c r="BI102" s="83"/>
      <x:c r="BJ102" s="83"/>
      <x:c r="BK102" s="83"/>
      <x:c r="BL102" s="83"/>
      <x:c r="BM102" s="83"/>
      <x:c r="BN102" s="83"/>
    </x:row>
    <x:row r="103" ht="18" customHeight="1">
      <x:c r="A103" s="83"/>
      <x:c r="B103" s="83"/>
      <x:c r="C103" s="83"/>
      <x:c r="D103" s="83"/>
      <x:c r="E103" s="83"/>
      <x:c r="F103" s="83"/>
      <x:c r="G103" s="83"/>
      <x:c r="H103" s="83"/>
      <x:c r="I103" s="83"/>
      <x:c r="J103" s="83"/>
      <x:c r="K103" s="83"/>
      <x:c r="L103" s="83"/>
      <x:c r="M103" s="83"/>
      <x:c r="N103" s="83"/>
      <x:c r="O103" s="83"/>
      <x:c r="P103" s="83"/>
      <x:c r="Q103" s="83"/>
      <x:c r="R103" s="83"/>
      <x:c r="S103" s="83"/>
      <x:c r="T103" s="83"/>
      <x:c r="U103" s="83"/>
      <x:c r="V103" s="83"/>
      <x:c r="W103" s="83"/>
      <x:c r="X103" s="83"/>
      <x:c r="Y103" s="83"/>
      <x:c r="Z103" s="83"/>
      <x:c r="AA103" s="83"/>
      <x:c r="AB103" s="83"/>
      <x:c r="AC103" s="83"/>
      <x:c r="AD103" s="83"/>
      <x:c r="AE103" s="83"/>
      <x:c r="AF103" s="83"/>
      <x:c r="AG103" s="83"/>
      <x:c r="AH103" s="83"/>
      <x:c r="AI103" s="83"/>
      <x:c r="AJ103" s="83"/>
      <x:c r="AK103" s="83"/>
      <x:c r="AL103" s="83"/>
      <x:c r="AM103" s="83"/>
      <x:c r="AN103" s="83"/>
      <x:c r="AO103" s="83"/>
      <x:c r="AP103" s="83"/>
      <x:c r="AQ103" s="83"/>
      <x:c r="AR103" s="83"/>
      <x:c r="AS103" s="83"/>
      <x:c r="AT103" s="83"/>
      <x:c r="AU103" s="83"/>
      <x:c r="AV103" s="83"/>
      <x:c r="AW103" s="83"/>
      <x:c r="AX103" s="83"/>
      <x:c r="AY103" s="83"/>
      <x:c r="AZ103" s="83"/>
      <x:c r="BA103" s="83"/>
      <x:c r="BB103" s="83"/>
      <x:c r="BC103" s="83"/>
      <x:c r="BD103" s="83"/>
      <x:c r="BE103" s="83"/>
      <x:c r="BF103" s="83"/>
      <x:c r="BG103" s="83"/>
      <x:c r="BH103" s="83"/>
      <x:c r="BI103" s="83"/>
      <x:c r="BJ103" s="83"/>
      <x:c r="BK103" s="83"/>
      <x:c r="BL103" s="83"/>
      <x:c r="BM103" s="83"/>
      <x:c r="BN103" s="83"/>
    </x:row>
    <x:row r="104" ht="18" customHeight="1">
      <x:c r="A104" s="83"/>
      <x:c r="B104" s="83"/>
      <x:c r="C104" s="83"/>
      <x:c r="D104" s="83"/>
      <x:c r="E104" s="83"/>
      <x:c r="F104" s="83"/>
      <x:c r="G104" s="83"/>
      <x:c r="H104" s="83"/>
      <x:c r="I104" s="83"/>
      <x:c r="J104" s="83"/>
      <x:c r="K104" s="83"/>
      <x:c r="L104" s="83"/>
      <x:c r="M104" s="83"/>
      <x:c r="N104" s="83"/>
      <x:c r="O104" s="83"/>
      <x:c r="P104" s="83"/>
      <x:c r="Q104" s="83"/>
      <x:c r="R104" s="83"/>
      <x:c r="S104" s="83"/>
      <x:c r="T104" s="83"/>
      <x:c r="U104" s="83"/>
      <x:c r="V104" s="83"/>
      <x:c r="W104" s="83"/>
      <x:c r="X104" s="83"/>
      <x:c r="Y104" s="83"/>
      <x:c r="Z104" s="83"/>
      <x:c r="AA104" s="83"/>
      <x:c r="AB104" s="83"/>
      <x:c r="AC104" s="83"/>
      <x:c r="AD104" s="83"/>
      <x:c r="AE104" s="83"/>
      <x:c r="AF104" s="83"/>
      <x:c r="AG104" s="83"/>
      <x:c r="AH104" s="83"/>
      <x:c r="AI104" s="83"/>
      <x:c r="AJ104" s="83"/>
      <x:c r="AK104" s="83"/>
      <x:c r="AL104" s="83"/>
      <x:c r="AM104" s="83"/>
      <x:c r="AN104" s="83"/>
      <x:c r="AO104" s="83"/>
      <x:c r="AP104" s="83"/>
      <x:c r="AQ104" s="83"/>
      <x:c r="AR104" s="83"/>
      <x:c r="AS104" s="83"/>
      <x:c r="AT104" s="83"/>
      <x:c r="AU104" s="83"/>
      <x:c r="AV104" s="83"/>
      <x:c r="AW104" s="83"/>
      <x:c r="AX104" s="83"/>
      <x:c r="AY104" s="83"/>
      <x:c r="AZ104" s="83"/>
      <x:c r="BA104" s="83"/>
      <x:c r="BB104" s="83"/>
      <x:c r="BC104" s="83"/>
      <x:c r="BD104" s="83"/>
      <x:c r="BE104" s="83"/>
      <x:c r="BF104" s="83"/>
      <x:c r="BG104" s="83"/>
      <x:c r="BH104" s="83"/>
      <x:c r="BI104" s="83"/>
      <x:c r="BJ104" s="83"/>
      <x:c r="BK104" s="83"/>
      <x:c r="BL104" s="83"/>
      <x:c r="BM104" s="83"/>
      <x:c r="BN104" s="83"/>
    </x:row>
    <x:row r="105" ht="18" customHeight="1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83"/>
      <x:c r="R105" s="83"/>
      <x:c r="S105" s="83"/>
      <x:c r="T105" s="83"/>
      <x:c r="U105" s="83"/>
      <x:c r="V105" s="83"/>
      <x:c r="W105" s="83"/>
      <x:c r="X105" s="83"/>
      <x:c r="Y105" s="83"/>
      <x:c r="Z105" s="83"/>
      <x:c r="AA105" s="83"/>
      <x:c r="AB105" s="83"/>
      <x:c r="AC105" s="83"/>
      <x:c r="AD105" s="83"/>
      <x:c r="AE105" s="83"/>
      <x:c r="AF105" s="83"/>
      <x:c r="AG105" s="83"/>
      <x:c r="AH105" s="83"/>
      <x:c r="AI105" s="83"/>
      <x:c r="AJ105" s="83"/>
      <x:c r="AK105" s="83"/>
      <x:c r="AL105" s="83"/>
      <x:c r="AM105" s="83"/>
      <x:c r="AN105" s="83"/>
      <x:c r="AO105" s="83"/>
      <x:c r="AP105" s="83"/>
      <x:c r="AQ105" s="83"/>
      <x:c r="AR105" s="83"/>
      <x:c r="AS105" s="83"/>
      <x:c r="AT105" s="83"/>
      <x:c r="AU105" s="83"/>
      <x:c r="AV105" s="83"/>
      <x:c r="AW105" s="83"/>
      <x:c r="AX105" s="83"/>
      <x:c r="AY105" s="83"/>
      <x:c r="AZ105" s="83"/>
      <x:c r="BA105" s="83"/>
      <x:c r="BB105" s="83"/>
      <x:c r="BC105" s="83"/>
      <x:c r="BD105" s="83"/>
      <x:c r="BE105" s="83"/>
      <x:c r="BF105" s="83"/>
      <x:c r="BG105" s="83"/>
      <x:c r="BH105" s="83"/>
      <x:c r="BI105" s="83"/>
      <x:c r="BJ105" s="83"/>
      <x:c r="BK105" s="83"/>
      <x:c r="BL105" s="83"/>
      <x:c r="BM105" s="83"/>
      <x:c r="BN105" s="83"/>
    </x:row>
    <x:row r="106" ht="18" customHeight="1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83"/>
      <x:c r="R106" s="83"/>
      <x:c r="S106" s="83"/>
      <x:c r="T106" s="83"/>
      <x:c r="U106" s="83"/>
      <x:c r="V106" s="83"/>
      <x:c r="W106" s="83"/>
      <x:c r="X106" s="83"/>
      <x:c r="Y106" s="83"/>
      <x:c r="Z106" s="83"/>
      <x:c r="AA106" s="83"/>
      <x:c r="AB106" s="83"/>
      <x:c r="AC106" s="83"/>
      <x:c r="AD106" s="83"/>
      <x:c r="AE106" s="83"/>
      <x:c r="AF106" s="83"/>
      <x:c r="AG106" s="83"/>
      <x:c r="AH106" s="83"/>
      <x:c r="AI106" s="83"/>
      <x:c r="AJ106" s="83"/>
      <x:c r="AK106" s="83"/>
      <x:c r="AL106" s="83"/>
      <x:c r="AM106" s="83"/>
      <x:c r="AN106" s="83"/>
      <x:c r="AO106" s="83"/>
      <x:c r="AP106" s="83"/>
      <x:c r="AQ106" s="83"/>
      <x:c r="AR106" s="83"/>
      <x:c r="AS106" s="83"/>
      <x:c r="AT106" s="83"/>
      <x:c r="AU106" s="83"/>
      <x:c r="AV106" s="83"/>
      <x:c r="AW106" s="83"/>
      <x:c r="AX106" s="83"/>
      <x:c r="AY106" s="83"/>
      <x:c r="AZ106" s="83"/>
      <x:c r="BA106" s="83"/>
      <x:c r="BB106" s="83"/>
      <x:c r="BC106" s="83"/>
      <x:c r="BD106" s="83"/>
      <x:c r="BE106" s="83"/>
      <x:c r="BF106" s="83"/>
      <x:c r="BG106" s="83"/>
      <x:c r="BH106" s="83"/>
      <x:c r="BI106" s="83"/>
      <x:c r="BJ106" s="83"/>
      <x:c r="BK106" s="83"/>
      <x:c r="BL106" s="83"/>
      <x:c r="BM106" s="83"/>
      <x:c r="BN106" s="83"/>
    </x:row>
    <x:row r="107" ht="18" customHeight="1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83"/>
      <x:c r="R107" s="83"/>
      <x:c r="S107" s="83"/>
      <x:c r="T107" s="83"/>
      <x:c r="U107" s="83"/>
      <x:c r="V107" s="83"/>
      <x:c r="W107" s="83"/>
      <x:c r="X107" s="83"/>
      <x:c r="Y107" s="83"/>
      <x:c r="Z107" s="83"/>
      <x:c r="AA107" s="83"/>
      <x:c r="AB107" s="83"/>
      <x:c r="AC107" s="83"/>
      <x:c r="AD107" s="83"/>
      <x:c r="AE107" s="83"/>
      <x:c r="AF107" s="83"/>
      <x:c r="AG107" s="83"/>
      <x:c r="AH107" s="83"/>
      <x:c r="AI107" s="83"/>
      <x:c r="AJ107" s="83"/>
      <x:c r="AK107" s="83"/>
      <x:c r="AL107" s="83"/>
      <x:c r="AM107" s="83"/>
      <x:c r="AN107" s="83"/>
      <x:c r="AO107" s="83"/>
      <x:c r="AP107" s="83"/>
      <x:c r="AQ107" s="83"/>
      <x:c r="AR107" s="83"/>
      <x:c r="AS107" s="83"/>
      <x:c r="AT107" s="83"/>
      <x:c r="AU107" s="83"/>
      <x:c r="AV107" s="83"/>
      <x:c r="AW107" s="83"/>
      <x:c r="AX107" s="83"/>
      <x:c r="AY107" s="83"/>
      <x:c r="AZ107" s="83"/>
      <x:c r="BA107" s="83"/>
      <x:c r="BB107" s="83"/>
      <x:c r="BC107" s="83"/>
      <x:c r="BD107" s="83"/>
      <x:c r="BE107" s="83"/>
      <x:c r="BF107" s="83"/>
      <x:c r="BG107" s="83"/>
      <x:c r="BH107" s="83"/>
      <x:c r="BI107" s="83"/>
      <x:c r="BJ107" s="83"/>
      <x:c r="BK107" s="83"/>
      <x:c r="BL107" s="83"/>
      <x:c r="BM107" s="83"/>
      <x:c r="BN107" s="83"/>
    </x:row>
    <x:row r="108" ht="18" customHeight="1">
      <x:c r="A108" s="83"/>
      <x:c r="B108" s="83"/>
      <x:c r="C108" s="83"/>
      <x:c r="D108" s="83"/>
      <x:c r="E108" s="83"/>
      <x:c r="F108" s="83"/>
      <x:c r="G108" s="83"/>
      <x:c r="H108" s="83"/>
      <x:c r="I108" s="83"/>
      <x:c r="J108" s="83"/>
      <x:c r="K108" s="83"/>
      <x:c r="L108" s="83"/>
      <x:c r="M108" s="83"/>
      <x:c r="N108" s="83"/>
      <x:c r="O108" s="83"/>
      <x:c r="P108" s="83"/>
      <x:c r="Q108" s="83"/>
      <x:c r="R108" s="83"/>
      <x:c r="S108" s="83"/>
      <x:c r="T108" s="83"/>
      <x:c r="U108" s="83"/>
      <x:c r="V108" s="83"/>
      <x:c r="W108" s="83"/>
      <x:c r="X108" s="83"/>
      <x:c r="Y108" s="83"/>
      <x:c r="Z108" s="83"/>
      <x:c r="AA108" s="83"/>
      <x:c r="AB108" s="83"/>
      <x:c r="AC108" s="83"/>
      <x:c r="AD108" s="83"/>
      <x:c r="AE108" s="83"/>
      <x:c r="AF108" s="83"/>
      <x:c r="AG108" s="83"/>
      <x:c r="AH108" s="83"/>
      <x:c r="AI108" s="83"/>
      <x:c r="AJ108" s="83"/>
      <x:c r="AK108" s="83"/>
      <x:c r="AL108" s="83"/>
      <x:c r="AM108" s="83"/>
      <x:c r="AN108" s="83"/>
      <x:c r="AO108" s="83"/>
      <x:c r="AP108" s="83"/>
      <x:c r="AQ108" s="83"/>
      <x:c r="AR108" s="83"/>
      <x:c r="AS108" s="83"/>
      <x:c r="AT108" s="83"/>
      <x:c r="AU108" s="83"/>
      <x:c r="AV108" s="83"/>
      <x:c r="AW108" s="83"/>
      <x:c r="AX108" s="83"/>
      <x:c r="AY108" s="83"/>
      <x:c r="AZ108" s="83"/>
      <x:c r="BA108" s="83"/>
      <x:c r="BB108" s="83"/>
      <x:c r="BC108" s="83"/>
      <x:c r="BD108" s="83"/>
      <x:c r="BE108" s="83"/>
      <x:c r="BF108" s="83"/>
      <x:c r="BG108" s="83"/>
      <x:c r="BH108" s="83"/>
      <x:c r="BI108" s="83"/>
      <x:c r="BJ108" s="83"/>
      <x:c r="BK108" s="83"/>
      <x:c r="BL108" s="83"/>
      <x:c r="BM108" s="83"/>
      <x:c r="BN108" s="83"/>
    </x:row>
    <x:row r="109" ht="18" customHeight="1">
      <x:c r="A109" s="83"/>
      <x:c r="B109" s="83"/>
      <x:c r="C109" s="83"/>
      <x:c r="D109" s="83"/>
      <x:c r="E109" s="83"/>
      <x:c r="F109" s="83"/>
      <x:c r="G109" s="83"/>
      <x:c r="H109" s="83"/>
      <x:c r="I109" s="83"/>
      <x:c r="J109" s="83"/>
      <x:c r="K109" s="83"/>
      <x:c r="L109" s="83"/>
      <x:c r="M109" s="83"/>
      <x:c r="N109" s="83"/>
      <x:c r="O109" s="83"/>
      <x:c r="P109" s="83"/>
      <x:c r="Q109" s="83"/>
      <x:c r="R109" s="83"/>
      <x:c r="S109" s="83"/>
      <x:c r="T109" s="83"/>
      <x:c r="U109" s="83"/>
      <x:c r="V109" s="83"/>
      <x:c r="W109" s="83"/>
      <x:c r="X109" s="83"/>
      <x:c r="Y109" s="83"/>
      <x:c r="Z109" s="83"/>
      <x:c r="AA109" s="83"/>
      <x:c r="AB109" s="83"/>
      <x:c r="AC109" s="83"/>
      <x:c r="AD109" s="83"/>
      <x:c r="AE109" s="83"/>
      <x:c r="AF109" s="83"/>
      <x:c r="AG109" s="83"/>
      <x:c r="AH109" s="83"/>
      <x:c r="AI109" s="83"/>
      <x:c r="AJ109" s="83"/>
      <x:c r="AK109" s="83"/>
      <x:c r="AL109" s="83"/>
      <x:c r="AM109" s="83"/>
      <x:c r="AN109" s="83"/>
      <x:c r="AO109" s="83"/>
      <x:c r="AP109" s="83"/>
      <x:c r="AQ109" s="83"/>
      <x:c r="AR109" s="83"/>
      <x:c r="AS109" s="83"/>
      <x:c r="AT109" s="83"/>
      <x:c r="AU109" s="83"/>
      <x:c r="AV109" s="83"/>
      <x:c r="AW109" s="83"/>
      <x:c r="AX109" s="83"/>
      <x:c r="AY109" s="83"/>
      <x:c r="AZ109" s="83"/>
      <x:c r="BA109" s="83"/>
      <x:c r="BB109" s="83"/>
      <x:c r="BC109" s="83"/>
      <x:c r="BD109" s="83"/>
      <x:c r="BE109" s="83"/>
      <x:c r="BF109" s="83"/>
      <x:c r="BG109" s="83"/>
      <x:c r="BH109" s="83"/>
      <x:c r="BI109" s="83"/>
      <x:c r="BJ109" s="83"/>
      <x:c r="BK109" s="83"/>
      <x:c r="BL109" s="83"/>
      <x:c r="BM109" s="83"/>
      <x:c r="BN109" s="83"/>
    </x:row>
    <x:row r="110" ht="18" customHeight="1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83"/>
      <x:c r="R110" s="83"/>
      <x:c r="S110" s="83"/>
      <x:c r="T110" s="83"/>
      <x:c r="U110" s="83"/>
      <x:c r="V110" s="83"/>
      <x:c r="W110" s="83"/>
      <x:c r="X110" s="83"/>
      <x:c r="Y110" s="83"/>
      <x:c r="Z110" s="83"/>
      <x:c r="AA110" s="83"/>
      <x:c r="AB110" s="83"/>
      <x:c r="AC110" s="83"/>
      <x:c r="AD110" s="83"/>
      <x:c r="AE110" s="83"/>
      <x:c r="AF110" s="83"/>
      <x:c r="AG110" s="83"/>
      <x:c r="AH110" s="83"/>
      <x:c r="AI110" s="83"/>
      <x:c r="AJ110" s="83"/>
      <x:c r="AK110" s="83"/>
      <x:c r="AL110" s="83"/>
      <x:c r="AM110" s="83"/>
      <x:c r="AN110" s="83"/>
      <x:c r="AO110" s="83"/>
      <x:c r="AP110" s="83"/>
      <x:c r="AQ110" s="83"/>
      <x:c r="AR110" s="83"/>
      <x:c r="AS110" s="83"/>
      <x:c r="AT110" s="83"/>
      <x:c r="AU110" s="83"/>
      <x:c r="AV110" s="83"/>
      <x:c r="AW110" s="83"/>
      <x:c r="AX110" s="83"/>
      <x:c r="AY110" s="83"/>
      <x:c r="AZ110" s="83"/>
      <x:c r="BA110" s="83"/>
      <x:c r="BB110" s="83"/>
      <x:c r="BC110" s="83"/>
      <x:c r="BD110" s="83"/>
      <x:c r="BE110" s="83"/>
      <x:c r="BF110" s="83"/>
      <x:c r="BG110" s="83"/>
      <x:c r="BH110" s="83"/>
      <x:c r="BI110" s="83"/>
      <x:c r="BJ110" s="83"/>
      <x:c r="BK110" s="83"/>
      <x:c r="BL110" s="83"/>
      <x:c r="BM110" s="83"/>
      <x:c r="BN110" s="83"/>
    </x:row>
    <x:row r="111" ht="18" customHeight="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83"/>
      <x:c r="R111" s="83"/>
      <x:c r="S111" s="83"/>
      <x:c r="T111" s="83"/>
      <x:c r="U111" s="83"/>
      <x:c r="V111" s="83"/>
      <x:c r="W111" s="83"/>
      <x:c r="X111" s="83"/>
      <x:c r="Y111" s="83"/>
      <x:c r="Z111" s="83"/>
      <x:c r="AA111" s="83"/>
      <x:c r="AB111" s="83"/>
      <x:c r="AC111" s="83"/>
      <x:c r="AD111" s="83"/>
      <x:c r="AE111" s="83"/>
      <x:c r="AF111" s="83"/>
      <x:c r="AG111" s="83"/>
      <x:c r="AH111" s="83"/>
      <x:c r="AI111" s="83"/>
      <x:c r="AJ111" s="83"/>
      <x:c r="AK111" s="83"/>
      <x:c r="AL111" s="83"/>
      <x:c r="AM111" s="83"/>
      <x:c r="AN111" s="83"/>
      <x:c r="AO111" s="83"/>
      <x:c r="AP111" s="83"/>
      <x:c r="AQ111" s="83"/>
      <x:c r="AR111" s="83"/>
      <x:c r="AS111" s="83"/>
      <x:c r="AT111" s="83"/>
      <x:c r="AU111" s="83"/>
      <x:c r="AV111" s="83"/>
      <x:c r="AW111" s="83"/>
      <x:c r="AX111" s="83"/>
      <x:c r="AY111" s="83"/>
      <x:c r="AZ111" s="83"/>
      <x:c r="BA111" s="83"/>
      <x:c r="BB111" s="83"/>
      <x:c r="BC111" s="83"/>
      <x:c r="BD111" s="83"/>
      <x:c r="BE111" s="83"/>
      <x:c r="BF111" s="83"/>
      <x:c r="BG111" s="83"/>
      <x:c r="BH111" s="83"/>
      <x:c r="BI111" s="83"/>
      <x:c r="BJ111" s="83"/>
      <x:c r="BK111" s="83"/>
      <x:c r="BL111" s="83"/>
      <x:c r="BM111" s="83"/>
      <x:c r="BN111" s="83"/>
    </x:row>
    <x:row r="112" ht="18" customHeight="1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83"/>
      <x:c r="R112" s="83"/>
      <x:c r="S112" s="83"/>
      <x:c r="T112" s="83"/>
      <x:c r="U112" s="83"/>
      <x:c r="V112" s="83"/>
      <x:c r="W112" s="83"/>
      <x:c r="X112" s="83"/>
      <x:c r="Y112" s="83"/>
      <x:c r="Z112" s="83"/>
      <x:c r="AA112" s="83"/>
      <x:c r="AB112" s="83"/>
      <x:c r="AC112" s="83"/>
      <x:c r="AD112" s="83"/>
      <x:c r="AE112" s="83"/>
      <x:c r="AF112" s="83"/>
      <x:c r="AG112" s="83"/>
      <x:c r="AH112" s="83"/>
      <x:c r="AI112" s="83"/>
      <x:c r="AJ112" s="83"/>
      <x:c r="AK112" s="83"/>
      <x:c r="AL112" s="83"/>
      <x:c r="AM112" s="83"/>
      <x:c r="AN112" s="83"/>
      <x:c r="AO112" s="83"/>
      <x:c r="AP112" s="83"/>
      <x:c r="AQ112" s="83"/>
      <x:c r="AR112" s="83"/>
      <x:c r="AS112" s="83"/>
      <x:c r="AT112" s="83"/>
      <x:c r="AU112" s="83"/>
      <x:c r="AV112" s="83"/>
      <x:c r="AW112" s="83"/>
      <x:c r="AX112" s="83"/>
      <x:c r="AY112" s="83"/>
      <x:c r="AZ112" s="83"/>
      <x:c r="BA112" s="83"/>
      <x:c r="BB112" s="83"/>
      <x:c r="BC112" s="83"/>
      <x:c r="BD112" s="83"/>
      <x:c r="BE112" s="83"/>
      <x:c r="BF112" s="83"/>
      <x:c r="BG112" s="83"/>
      <x:c r="BH112" s="83"/>
      <x:c r="BI112" s="83"/>
      <x:c r="BJ112" s="83"/>
      <x:c r="BK112" s="83"/>
      <x:c r="BL112" s="83"/>
      <x:c r="BM112" s="83"/>
      <x:c r="BN112" s="83"/>
    </x:row>
    <x:row r="113" ht="18" customHeight="1">
      <x:c r="A113" s="83"/>
      <x:c r="B113" s="83"/>
      <x:c r="C113" s="83"/>
      <x:c r="D113" s="83"/>
      <x:c r="E113" s="83"/>
      <x:c r="F113" s="83"/>
      <x:c r="G113" s="83"/>
      <x:c r="H113" s="83"/>
      <x:c r="I113" s="83"/>
      <x:c r="J113" s="83"/>
      <x:c r="K113" s="83"/>
      <x:c r="L113" s="83"/>
      <x:c r="M113" s="83"/>
      <x:c r="N113" s="83"/>
      <x:c r="O113" s="83"/>
      <x:c r="P113" s="83"/>
      <x:c r="Q113" s="83"/>
      <x:c r="R113" s="83"/>
      <x:c r="S113" s="83"/>
      <x:c r="T113" s="83"/>
      <x:c r="U113" s="83"/>
      <x:c r="V113" s="83"/>
      <x:c r="W113" s="83"/>
      <x:c r="X113" s="83"/>
      <x:c r="Y113" s="83"/>
      <x:c r="Z113" s="83"/>
      <x:c r="AA113" s="83"/>
      <x:c r="AB113" s="83"/>
      <x:c r="AC113" s="83"/>
      <x:c r="AD113" s="83"/>
      <x:c r="AE113" s="83"/>
      <x:c r="AF113" s="83"/>
      <x:c r="AG113" s="83"/>
      <x:c r="AH113" s="83"/>
      <x:c r="AI113" s="83"/>
      <x:c r="AJ113" s="83"/>
      <x:c r="AK113" s="83"/>
      <x:c r="AL113" s="83"/>
      <x:c r="AM113" s="83"/>
      <x:c r="AN113" s="83"/>
      <x:c r="AO113" s="83"/>
      <x:c r="AP113" s="83"/>
      <x:c r="AQ113" s="83"/>
      <x:c r="AR113" s="83"/>
      <x:c r="AS113" s="83"/>
      <x:c r="AT113" s="83"/>
      <x:c r="AU113" s="83"/>
      <x:c r="AV113" s="83"/>
      <x:c r="AW113" s="83"/>
      <x:c r="AX113" s="83"/>
      <x:c r="AY113" s="83"/>
      <x:c r="AZ113" s="83"/>
      <x:c r="BA113" s="83"/>
      <x:c r="BB113" s="83"/>
      <x:c r="BC113" s="83"/>
      <x:c r="BD113" s="83"/>
      <x:c r="BE113" s="83"/>
      <x:c r="BF113" s="83"/>
      <x:c r="BG113" s="83"/>
      <x:c r="BH113" s="83"/>
      <x:c r="BI113" s="83"/>
      <x:c r="BJ113" s="83"/>
      <x:c r="BK113" s="83"/>
      <x:c r="BL113" s="83"/>
      <x:c r="BM113" s="83"/>
      <x:c r="BN113" s="83"/>
    </x:row>
    <x:row r="114" ht="18" customHeight="1">
      <x:c r="A114" s="83"/>
      <x:c r="B114" s="83"/>
      <x:c r="C114" s="83"/>
      <x:c r="D114" s="83"/>
      <x:c r="E114" s="83"/>
      <x:c r="F114" s="83"/>
      <x:c r="G114" s="83"/>
      <x:c r="H114" s="83"/>
      <x:c r="I114" s="83"/>
      <x:c r="J114" s="83"/>
      <x:c r="K114" s="83"/>
      <x:c r="L114" s="83"/>
      <x:c r="M114" s="83"/>
      <x:c r="N114" s="83"/>
      <x:c r="O114" s="83"/>
      <x:c r="P114" s="83"/>
      <x:c r="Q114" s="83"/>
      <x:c r="R114" s="83"/>
      <x:c r="S114" s="83"/>
      <x:c r="T114" s="83"/>
      <x:c r="U114" s="83"/>
      <x:c r="V114" s="83"/>
      <x:c r="W114" s="83"/>
      <x:c r="X114" s="83"/>
      <x:c r="Y114" s="83"/>
      <x:c r="Z114" s="83"/>
      <x:c r="AA114" s="83"/>
      <x:c r="AB114" s="83"/>
      <x:c r="AC114" s="83"/>
      <x:c r="AD114" s="83"/>
      <x:c r="AE114" s="83"/>
      <x:c r="AF114" s="83"/>
      <x:c r="AG114" s="83"/>
      <x:c r="AH114" s="83"/>
      <x:c r="AI114" s="83"/>
      <x:c r="AJ114" s="83"/>
      <x:c r="AK114" s="83"/>
      <x:c r="AL114" s="83"/>
      <x:c r="AM114" s="83"/>
      <x:c r="AN114" s="83"/>
      <x:c r="AO114" s="83"/>
      <x:c r="AP114" s="83"/>
      <x:c r="AQ114" s="83"/>
      <x:c r="AR114" s="83"/>
      <x:c r="AS114" s="83"/>
      <x:c r="AT114" s="83"/>
      <x:c r="AU114" s="83"/>
      <x:c r="AV114" s="83"/>
      <x:c r="AW114" s="83"/>
      <x:c r="AX114" s="83"/>
      <x:c r="AY114" s="83"/>
      <x:c r="AZ114" s="83"/>
      <x:c r="BA114" s="83"/>
      <x:c r="BB114" s="83"/>
      <x:c r="BC114" s="83"/>
      <x:c r="BD114" s="83"/>
      <x:c r="BE114" s="83"/>
      <x:c r="BF114" s="83"/>
      <x:c r="BG114" s="83"/>
      <x:c r="BH114" s="83"/>
      <x:c r="BI114" s="83"/>
      <x:c r="BJ114" s="83"/>
      <x:c r="BK114" s="83"/>
      <x:c r="BL114" s="83"/>
      <x:c r="BM114" s="83"/>
      <x:c r="BN114" s="83"/>
    </x:row>
    <x:row r="115" ht="18" customHeight="1">
      <x:c r="A115" s="83"/>
      <x:c r="B115" s="83"/>
      <x:c r="C115" s="83"/>
      <x:c r="D115" s="83"/>
      <x:c r="E115" s="83"/>
      <x:c r="F115" s="83"/>
      <x:c r="G115" s="83"/>
      <x:c r="H115" s="83"/>
      <x:c r="I115" s="83"/>
      <x:c r="J115" s="83"/>
      <x:c r="K115" s="83"/>
      <x:c r="L115" s="83"/>
      <x:c r="M115" s="83"/>
      <x:c r="N115" s="83"/>
      <x:c r="O115" s="83"/>
      <x:c r="P115" s="83"/>
      <x:c r="Q115" s="83"/>
      <x:c r="R115" s="83"/>
      <x:c r="S115" s="83"/>
      <x:c r="T115" s="83"/>
      <x:c r="U115" s="83"/>
      <x:c r="V115" s="83"/>
      <x:c r="W115" s="83"/>
      <x:c r="X115" s="83"/>
      <x:c r="Y115" s="83"/>
      <x:c r="Z115" s="83"/>
      <x:c r="AA115" s="83"/>
      <x:c r="AB115" s="83"/>
      <x:c r="AC115" s="83"/>
      <x:c r="AD115" s="83"/>
      <x:c r="AE115" s="83"/>
      <x:c r="AF115" s="83"/>
      <x:c r="AG115" s="83"/>
      <x:c r="AH115" s="83"/>
      <x:c r="AI115" s="83"/>
      <x:c r="AJ115" s="83"/>
      <x:c r="AK115" s="83"/>
      <x:c r="AL115" s="83"/>
      <x:c r="AM115" s="83"/>
      <x:c r="AN115" s="83"/>
      <x:c r="AO115" s="83"/>
      <x:c r="AP115" s="83"/>
      <x:c r="AQ115" s="83"/>
      <x:c r="AR115" s="83"/>
      <x:c r="AS115" s="83"/>
      <x:c r="AT115" s="83"/>
      <x:c r="AU115" s="83"/>
      <x:c r="AV115" s="83"/>
      <x:c r="AW115" s="83"/>
      <x:c r="AX115" s="83"/>
      <x:c r="AY115" s="83"/>
      <x:c r="AZ115" s="83"/>
      <x:c r="BA115" s="83"/>
      <x:c r="BB115" s="83"/>
      <x:c r="BC115" s="83"/>
      <x:c r="BD115" s="83"/>
      <x:c r="BE115" s="83"/>
      <x:c r="BF115" s="83"/>
      <x:c r="BG115" s="83"/>
      <x:c r="BH115" s="83"/>
      <x:c r="BI115" s="83"/>
      <x:c r="BJ115" s="83"/>
      <x:c r="BK115" s="83"/>
      <x:c r="BL115" s="83"/>
      <x:c r="BM115" s="83"/>
      <x:c r="BN115" s="83"/>
    </x:row>
  </x:sheetData>
  <x:mergeCells>
    <x:mergeCell ref="C2:BL3"/>
    <x:mergeCell ref="C4:BL5"/>
    <x:mergeCell ref="D8:AB9"/>
    <x:mergeCell ref="AC9:AE10"/>
    <x:mergeCell ref="D13:AE13"/>
    <x:mergeCell ref="D14:AB15"/>
    <x:mergeCell ref="AC15:AE16"/>
    <x:mergeCell ref="D19:AE19"/>
    <x:mergeCell ref="D20:AB21"/>
    <x:mergeCell ref="AC21:AE22"/>
    <x:mergeCell ref="D25:AE27"/>
    <x:mergeCell ref="AJ8:BJ8"/>
    <x:mergeCell ref="AJ10:BB11"/>
    <x:mergeCell ref="BD10:BJ11"/>
    <x:mergeCell ref="AJ12:BJ12"/>
    <x:mergeCell ref="AJ14:BB15"/>
    <x:mergeCell ref="BD14:BJ15"/>
    <x:mergeCell ref="AJ16:BJ16"/>
    <x:mergeCell ref="AJ18:BB19"/>
    <x:mergeCell ref="BD18:BJ19"/>
    <x:mergeCell ref="AJ20:BJ20"/>
    <x:mergeCell ref="AJ22:BB23"/>
    <x:mergeCell ref="BD22:BJ23"/>
    <x:mergeCell ref="AJ24:BJ24"/>
    <x:mergeCell ref="AJ27:BJ28"/>
    <x:mergeCell ref="C31:BL32"/>
    <x:mergeCell ref="C33:BL33"/>
    <x:mergeCell ref="C34:P35"/>
    <x:mergeCell ref="R34:BL35"/>
    <x:mergeCell ref="E39:N39"/>
    <x:mergeCell ref="E40:N41"/>
    <x:mergeCell ref="E42:N42"/>
    <x:mergeCell ref="F46:M46"/>
    <x:mergeCell ref="F47:M48"/>
    <x:mergeCell ref="F51:M51"/>
    <x:mergeCell ref="G55:L55"/>
    <x:mergeCell ref="G56:L57"/>
    <x:mergeCell ref="G60:L60"/>
    <x:mergeCell ref="F64:M64"/>
    <x:mergeCell ref="F65:M66"/>
    <x:mergeCell ref="G70:L70"/>
    <x:mergeCell ref="G71:L72"/>
    <x:mergeCell ref="C75:P76"/>
    <x:mergeCell ref="C78:P81"/>
    <x:mergeCell ref="U39:AE40"/>
    <x:mergeCell ref="S41:AE42"/>
    <x:mergeCell ref="S43:AE45"/>
    <x:mergeCell ref="S46:AE46"/>
    <x:mergeCell ref="S48:AA49"/>
    <x:mergeCell ref="AB48:AE49"/>
    <x:mergeCell ref="S50:AE50"/>
    <x:mergeCell ref="S54:AE54"/>
    <x:mergeCell ref="S55:AE55"/>
    <x:mergeCell ref="S56:AE56"/>
    <x:mergeCell ref="S57:AE58"/>
    <x:mergeCell ref="AK39:AU40"/>
    <x:mergeCell ref="AI41:AU42"/>
    <x:mergeCell ref="AI43:AU45"/>
    <x:mergeCell ref="AI46:AU46"/>
    <x:mergeCell ref="AI48:AQ49"/>
    <x:mergeCell ref="AR48:AU49"/>
    <x:mergeCell ref="AI50:AU50"/>
    <x:mergeCell ref="AI54:AU54"/>
    <x:mergeCell ref="AI55:AU55"/>
    <x:mergeCell ref="AI56:AU56"/>
    <x:mergeCell ref="AI57:AU58"/>
    <x:mergeCell ref="BA39:BK40"/>
    <x:mergeCell ref="AY41:BK42"/>
    <x:mergeCell ref="AY43:BK45"/>
    <x:mergeCell ref="AY46:BK46"/>
    <x:mergeCell ref="AY48:BG49"/>
    <x:mergeCell ref="BH48:BK49"/>
    <x:mergeCell ref="AY50:BK50"/>
    <x:mergeCell ref="AY52:BK52"/>
    <x:mergeCell ref="AY54:BK54"/>
    <x:mergeCell ref="AY55:BK55"/>
    <x:mergeCell ref="AY56:BK56"/>
    <x:mergeCell ref="AY57:BK58"/>
    <x:mergeCell ref="U62:AE63"/>
    <x:mergeCell ref="S64:AE65"/>
    <x:mergeCell ref="S66:AE68"/>
    <x:mergeCell ref="S69:AE69"/>
    <x:mergeCell ref="S71:AA72"/>
    <x:mergeCell ref="AB71:AE72"/>
    <x:mergeCell ref="S73:AE73"/>
    <x:mergeCell ref="S77:AE77"/>
    <x:mergeCell ref="S78:AE78"/>
    <x:mergeCell ref="S79:AE79"/>
    <x:mergeCell ref="S80:AE81"/>
    <x:mergeCell ref="AK62:AU63"/>
    <x:mergeCell ref="AI64:AU65"/>
    <x:mergeCell ref="AI66:AU68"/>
    <x:mergeCell ref="AI69:AU69"/>
    <x:mergeCell ref="AI71:AQ72"/>
    <x:mergeCell ref="AR71:AU72"/>
    <x:mergeCell ref="AI73:AU73"/>
    <x:mergeCell ref="AI77:AU77"/>
    <x:mergeCell ref="AI78:AU78"/>
    <x:mergeCell ref="AI79:AU79"/>
    <x:mergeCell ref="AI80:AU81"/>
    <x:mergeCell ref="BA62:BK63"/>
    <x:mergeCell ref="AY64:BK65"/>
    <x:mergeCell ref="AY66:BK68"/>
    <x:mergeCell ref="AY69:BK69"/>
    <x:mergeCell ref="AY71:BG72"/>
    <x:mergeCell ref="BH71:BK72"/>
    <x:mergeCell ref="AY73:BK73"/>
    <x:mergeCell ref="AY77:BK77"/>
    <x:mergeCell ref="AY78:BK78"/>
    <x:mergeCell ref="AY79:BK79"/>
    <x:mergeCell ref="AY80:BK81"/>
    <x:mergeCell ref="C84:BL85"/>
    <x:mergeCell ref="C87:BL89"/>
    <x:mergeCell ref="C91:BL91"/>
  </x:mergeCells>
  <x:dataValidations count="3">
    <x:dataValidation type="whole" operator="between" sqref="AC9">
      <x:formula1>0</x:formula1>
      <x:formula2>200</x:formula2>
    </x:dataValidation>
    <x:dataValidation type="whole" operator="between" sqref="AC15">
      <x:formula1>2</x:formula1>
      <x:formula2>5</x:formula2>
    </x:dataValidation>
    <x:dataValidation type="whole" operator="between" sqref="AC21">
      <x:formula1>0</x:formula1>
      <x:formula2>100</x:formula2>
    </x:dataValidation>
  </x:dataValidations>
  <x:pageMargins left="0.7" right="0.7" top="0.75" bottom="0.75" header="0.3" footer="0.3"/>
  <x:drawing xmlns:r="http://schemas.openxmlformats.org/officeDocument/2006/relationships" r:id="R1134252c45ae4105"/>
  <x:legacyDrawing xmlns:ns1="http://schemas.openxmlformats.org/officeDocument/2006/relationships" ns1:id="rId1"/>
  <x:controls>
    <mc:AlternateContent xmlns:mc="http://schemas.openxmlformats.org/markup-compatibility/2006" xmlns:x14="http://schemas.microsoft.com/office/spreadsheetml/2009/9/main">
      <mc:Choice Requires="x14">
        <x:control xmlns:ns0="http://schemas.openxmlformats.org/officeDocument/2006/relationships" shapeId="1025" ns0:id="rId2" name="Total new program funding">
          <x:controlPr defaultSize="0" autoFill="0" autoLine="0" autoPict="0" linkedCell="$AC$9" locked="0" print="1">
            <x:anchor moveWithCells="1">
              <x:from>
                <ns1:col xmlns:ns1="http://schemas.openxmlformats.org/drawingml/2006/spreadsheetDrawing">3</ns1:col>
                <ns2:colOff xmlns:ns2="http://schemas.openxmlformats.org/drawingml/2006/spreadsheetDrawing">0</ns2:colOff>
                <ns3:row xmlns:ns3="http://schemas.openxmlformats.org/drawingml/2006/spreadsheetDrawing">10</ns3:row>
                <ns4:rowOff xmlns:ns4="http://schemas.openxmlformats.org/drawingml/2006/spreadsheetDrawing">57150</ns4:rowOff>
              </x:from>
              <x:to>
                <ns5:col xmlns:ns5="http://schemas.openxmlformats.org/drawingml/2006/spreadsheetDrawing">29</ns5:col>
                <ns6:colOff xmlns:ns6="http://schemas.openxmlformats.org/drawingml/2006/spreadsheetDrawing">0</ns6:colOff>
                <ns7:row xmlns:ns7="http://schemas.openxmlformats.org/drawingml/2006/spreadsheetDrawing">11</ns7:row>
                <ns8:rowOff xmlns:ns8="http://schemas.openxmlformats.org/drawingml/2006/spreadsheetDrawing">114300</ns8:rowOff>
              </x:to>
            </x:anchor>
          </x:controlPr>
        </x:control>
      </mc:Choice>
      <mc:Fallback/>
    </mc:AlternateContent>
    <mc:AlternateContent xmlns:mc="http://schemas.openxmlformats.org/markup-compatibility/2006" xmlns:x14="http://schemas.microsoft.com/office/spreadsheetml/2009/9/main">
      <mc:Choice Requires="x14">
        <x:control xmlns:ns9="http://schemas.openxmlformats.org/officeDocument/2006/relationships" shapeId="1026" ns9:id="rId3" name="Deployment period">
          <x:controlPr defaultSize="0" autoFill="0" autoLine="0" autoPict="0" linkedCell="$AC$15" locked="0" print="1">
            <x:anchor moveWithCells="1">
              <x:from>
                <ns10:col xmlns:ns10="http://schemas.openxmlformats.org/drawingml/2006/spreadsheetDrawing">3</ns10:col>
                <ns11:colOff xmlns:ns11="http://schemas.openxmlformats.org/drawingml/2006/spreadsheetDrawing">0</ns11:colOff>
                <ns12:row xmlns:ns12="http://schemas.openxmlformats.org/drawingml/2006/spreadsheetDrawing">16</ns12:row>
                <ns13:rowOff xmlns:ns13="http://schemas.openxmlformats.org/drawingml/2006/spreadsheetDrawing">57150</ns13:rowOff>
              </x:from>
              <x:to>
                <ns14:col xmlns:ns14="http://schemas.openxmlformats.org/drawingml/2006/spreadsheetDrawing">29</ns14:col>
                <ns15:colOff xmlns:ns15="http://schemas.openxmlformats.org/drawingml/2006/spreadsheetDrawing">0</ns15:colOff>
                <ns16:row xmlns:ns16="http://schemas.openxmlformats.org/drawingml/2006/spreadsheetDrawing">17</ns16:row>
                <ns17:rowOff xmlns:ns17="http://schemas.openxmlformats.org/drawingml/2006/spreadsheetDrawing">114300</ns17:rowOff>
              </x:to>
            </x:anchor>
          </x:controlPr>
        </x:control>
      </mc:Choice>
      <mc:Fallback/>
    </mc:AlternateContent>
    <mc:AlternateContent xmlns:mc="http://schemas.openxmlformats.org/markup-compatibility/2006" xmlns:x14="http://schemas.microsoft.com/office/spreadsheetml/2009/9/main">
      <mc:Choice Requires="x14">
        <x:control xmlns:ns18="http://schemas.openxmlformats.org/officeDocument/2006/relationships" shapeId="1027" ns18:id="rId4" name="Wet-lab funding share">
          <x:controlPr defaultSize="0" autoFill="0" autoLine="0" autoPict="0" linkedCell="$AC$21" locked="0" print="1">
            <x:anchor moveWithCells="1">
              <x:from>
                <ns19:col xmlns:ns19="http://schemas.openxmlformats.org/drawingml/2006/spreadsheetDrawing">3</ns19:col>
                <ns20:colOff xmlns:ns20="http://schemas.openxmlformats.org/drawingml/2006/spreadsheetDrawing">0</ns20:colOff>
                <ns21:row xmlns:ns21="http://schemas.openxmlformats.org/drawingml/2006/spreadsheetDrawing">22</ns21:row>
                <ns22:rowOff xmlns:ns22="http://schemas.openxmlformats.org/drawingml/2006/spreadsheetDrawing">57150</ns22:rowOff>
              </x:from>
              <x:to>
                <ns23:col xmlns:ns23="http://schemas.openxmlformats.org/drawingml/2006/spreadsheetDrawing">29</ns23:col>
                <ns24:colOff xmlns:ns24="http://schemas.openxmlformats.org/drawingml/2006/spreadsheetDrawing">0</ns24:colOff>
                <ns25:row xmlns:ns25="http://schemas.openxmlformats.org/drawingml/2006/spreadsheetDrawing">23</ns25:row>
                <ns26:rowOff xmlns:ns26="http://schemas.openxmlformats.org/drawingml/2006/spreadsheetDrawing">114300</ns26:rowOff>
              </x:to>
            </x:anchor>
          </x:controlPr>
        </x:control>
      </mc:Choice>
      <mc:Fallback/>
    </mc:AlternateContent>
  </x:controls>
</x:worksheet>
</file>

<file path=xl/worksheets/sheet2.xml><?xml version="1.0" encoding="utf-8"?>
<x:worksheet xmlns:x="http://schemas.openxmlformats.org/spreadsheetml/2006/main">
  <x:sheetPr>
    <x:tabColor rgb="FF7399C6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39" hidden="0" customWidth="1"/>
    <x:col min="4" max="4" width="17" hidden="0" customWidth="1"/>
    <x:col min="5" max="5" width="17" hidden="0" customWidth="1"/>
    <x:col min="6" max="6" width="17" hidden="0" customWidth="1"/>
    <x:col min="7" max="7" width="28" hidden="0" customWidth="1"/>
    <x:col min="8" max="8" width="17" hidden="0" customWidth="1"/>
    <x:col min="9" max="9" width="3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2" ht="23" customHeight="1">
      <x:c r="C2" s="71" t="str">
        <x:v>Scenario assumptions</x:v>
      </x:c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</x:row>
    <x:row r="3" ht="23" customHeight="1">
      <x:c r="C3" s="73" t="str">
        <x:v>Analyst assumptions. The cost baselines and response coefficients are not empirically calibrated.</x:v>
      </x:c>
      <x:c r="D3" s="73"/>
      <x:c r="E3" s="73"/>
      <x:c r="F3" s="73"/>
      <x:c r="G3" s="73"/>
      <x:c r="H3" s="73"/>
      <x:c r="I3" s="72"/>
      <x:c r="J3" s="72"/>
      <x:c r="K3" s="72"/>
      <x:c r="L3" s="72"/>
      <x:c r="M3" s="72"/>
      <x:c r="N3" s="72"/>
      <x:c r="O3" s="72"/>
      <x:c r="P3" s="72"/>
      <x:c r="Q3" s="72"/>
    </x:row>
    <x:row r="4" ht="23" customHeight="1">
      <x:c r="C4" s="74"/>
      <x:c r="D4" s="74"/>
      <x:c r="E4" s="74"/>
      <x:c r="F4" s="74"/>
      <x:c r="G4" s="74"/>
      <x:c r="H4" s="74"/>
      <x:c r="I4" s="72"/>
      <x:c r="J4" s="72"/>
      <x:c r="K4" s="72"/>
      <x:c r="L4" s="72"/>
      <x:c r="M4" s="72"/>
      <x:c r="N4" s="72"/>
      <x:c r="O4" s="72"/>
      <x:c r="P4" s="72"/>
      <x:c r="Q4" s="72"/>
    </x:row>
    <x:row r="5" ht="23" customHeight="1">
      <x:c r="C5" s="2" t="str">
        <x:v>Workflow selector</x:v>
      </x:c>
      <x:c r="D5" s="10" t="n">
        <x:v>4</x:v>
      </x:c>
      <x:c r="E5" s="11" t="str">
        <x:f>CHOOSE(D5,"Protein / antibody discovery","Cell-data / perturbation factory","Small-molecule discovery","Total - all workflows")</x:f>
        <x:v>Total - all workflows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C6" s="2" t="str">
        <x:v>Workflow key</x:v>
      </x:c>
      <x:c r="D6" s="4" t="str">
        <x:v>1 = antibody</x:v>
      </x:c>
      <x:c r="E6" s="4" t="str">
        <x:v>2 = cell data</x:v>
      </x:c>
      <x:c r="F6" s="4" t="str">
        <x:v>3 = small molecule</x:v>
      </x:c>
      <x:c r="G6" s="4" t="str">
        <x:v>4 = Total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</x:row>
    <x:row r="7" ht="23" customHeight="1">
      <x:c r="C7" s="2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 ht="32" customHeight="1">
      <x:c r="C8" s="18" t="str">
        <x:v>Global input</x:v>
      </x:c>
      <x:c r="D8" s="19" t="str">
        <x:v>Value</x:v>
      </x:c>
      <x:c r="E8" s="19" t="str">
        <x:v>Units</x:v>
      </x:c>
      <x:c r="F8" s="19" t="str">
        <x:v>Provenance</x:v>
      </x:c>
      <x:c r="G8" s="19" t="str">
        <x:v>Allowed range</x:v>
      </x:c>
      <x:c r="H8" s="4"/>
      <x:c r="I8" s="4"/>
      <x:c r="J8" s="4"/>
      <x:c r="K8" s="4"/>
      <x:c r="L8" s="4"/>
      <x:c r="M8" s="4"/>
      <x:c r="N8" s="4"/>
      <x:c r="O8" s="4"/>
      <x:c r="P8" s="4"/>
      <x:c r="Q8" s="4"/>
    </x:row>
    <x:row r="9" ht="23" customHeight="1">
      <x:c r="C9" s="2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3" customHeight="1">
      <x:c r="C10" s="2" t="str">
        <x:v>Total new program funding</x:v>
      </x:c>
      <x:c r="D10" s="24" t="n">
        <x:f>'Scenario'!AC9</x:f>
        <x:v>50</x:v>
      </x:c>
      <x:c r="E10" s="4" t="str">
        <x:v>US$bn</x:v>
      </x:c>
      <x:c r="F10" s="4" t="str">
        <x:v>Dashboard input</x:v>
      </x:c>
      <x:c r="G10" s="4" t="str">
        <x:v>0 to 200</x:v>
      </x:c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3" customHeight="1">
      <x:c r="C11" s="2" t="str">
        <x:v>Deployment period</x:v>
      </x:c>
      <x:c r="D11" s="25" t="n">
        <x:f>'Scenario'!AC15</x:f>
        <x:v>5</x:v>
      </x:c>
      <x:c r="E11" s="4" t="str">
        <x:v>years</x:v>
      </x:c>
      <x:c r="F11" s="4" t="str">
        <x:v>Dashboard input</x:v>
      </x:c>
      <x:c r="G11" s="4" t="str">
        <x:v>2 to 5</x:v>
      </x:c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3" customHeight="1">
      <x:c r="C12" s="2" t="str">
        <x:v>Wet-lab share of program funding</x:v>
      </x:c>
      <x:c r="D12" s="76" t="n">
        <x:f>'Scenario'!AC21/100</x:f>
        <x:v>0.35</x:v>
      </x:c>
      <x:c r="E12" s="4" t="str">
        <x:v>fraction</x:v>
      </x:c>
      <x:c r="F12" s="4" t="str">
        <x:v>Dashboard input</x:v>
      </x:c>
      <x:c r="G12" s="4" t="str">
        <x:v>0 to 1</x:v>
      </x:c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3" customHeight="1">
      <x:c r="C13" s="2" t="str">
        <x:v>Equipment share within wet lab</x:v>
      </x:c>
      <x:c r="D13" s="77" t="n">
        <x:v>0.45</x:v>
      </x:c>
      <x:c r="E13" s="4" t="str">
        <x:v>fraction</x:v>
      </x:c>
      <x:c r="F13" s="4" t="str">
        <x:v>Analyst assumption</x:v>
      </x:c>
      <x:c r="G13" s="4" t="str">
        <x:v>0 to 1</x:v>
      </x:c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3" customHeight="1">
      <x:c r="C14" s="2" t="str">
        <x:v>Test share; Build is the remainder</x:v>
      </x:c>
      <x:c r="D14" s="77" t="n">
        <x:v>0.65</x:v>
      </x:c>
      <x:c r="E14" s="4" t="str">
        <x:v>fraction</x:v>
      </x:c>
      <x:c r="F14" s="4" t="str">
        <x:v>Analyst assumption</x:v>
      </x:c>
      <x:c r="G14" s="4" t="str">
        <x:v>0 to 1</x:v>
      </x:c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3" customHeight="1">
      <x:c r="C15" s="2" t="str">
        <x:v>Build reference equipment stock</x:v>
      </x:c>
      <x:c r="D15" s="21" t="n">
        <x:v>1.5</x:v>
      </x:c>
      <x:c r="E15" s="4" t="str">
        <x:v>US$bn</x:v>
      </x:c>
      <x:c r="F15" s="4" t="str">
        <x:v>Analyst assumption</x:v>
      </x:c>
      <x:c r="G15" s="4" t="str">
        <x:v>0.1 to 20</x:v>
      </x:c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3" customHeight="1">
      <x:c r="C16" s="2" t="str">
        <x:v>Test reference equipment stock</x:v>
      </x:c>
      <x:c r="D16" s="21" t="n">
        <x:v>2.5</x:v>
      </x:c>
      <x:c r="E16" s="4" t="str">
        <x:v>US$bn</x:v>
      </x:c>
      <x:c r="F16" s="4" t="str">
        <x:v>Analyst assumption</x:v>
      </x:c>
      <x:c r="G16" s="4" t="str">
        <x:v>0.1 to 20</x:v>
      </x:c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3" customHeight="1">
      <x:c r="C17" s="2" t="str">
        <x:v>Build reference annual lab costs</x:v>
      </x:c>
      <x:c r="D17" s="21" t="n">
        <x:v>0.35</x:v>
      </x:c>
      <x:c r="E17" s="4" t="str">
        <x:v>US$bn/year</x:v>
      </x:c>
      <x:c r="F17" s="4" t="str">
        <x:v>Analyst assumption</x:v>
      </x:c>
      <x:c r="G17" s="4" t="str">
        <x:v>0.05 to 10</x:v>
      </x:c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3" customHeight="1">
      <x:c r="C18" s="2" t="str">
        <x:v>Test reference annual lab costs</x:v>
      </x:c>
      <x:c r="D18" s="21" t="n">
        <x:v>0.55</x:v>
      </x:c>
      <x:c r="E18" s="4" t="str">
        <x:v>US$bn/year</x:v>
      </x:c>
      <x:c r="F18" s="4" t="str">
        <x:v>Analyst assumption</x:v>
      </x:c>
      <x:c r="G18" s="4" t="str">
        <x:v>0.05 to 10</x:v>
      </x:c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3" customHeight="1">
      <x:c r="C19" s="2" t="str">
        <x:v>Incremental rollout realization</x:v>
      </x:c>
      <x:c r="D19" s="77" t="n">
        <x:v>0.85</x:v>
      </x:c>
      <x:c r="E19" s="4" t="str">
        <x:v>fraction</x:v>
      </x:c>
      <x:c r="F19" s="4" t="str">
        <x:v>Analyst assumption</x:v>
      </x:c>
      <x:c r="G19" s="4" t="str">
        <x:v>0 to 1</x:v>
      </x:c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3" customHeight="1">
      <x:c r="C20" s="2" t="str">
        <x:v>Incremental productivity per dollar</x:v>
      </x:c>
      <x:c r="D20" s="21" t="n">
        <x:v>1</x:v>
      </x:c>
      <x:c r="E20" s="4" t="str">
        <x:v>ratio</x:v>
      </x:c>
      <x:c r="F20" s="4" t="str">
        <x:v>Analyst assumption</x:v>
      </x:c>
      <x:c r="G20" s="4" t="str">
        <x:v>0.5 to 3</x:v>
      </x:c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3" customHeight="1">
      <x:c r="C21" s="2" t="str">
        <x:v>Commissioning lag</x:v>
      </x:c>
      <x:c r="D21" s="21" t="n">
        <x:v>0</x:v>
      </x:c>
      <x:c r="E21" s="4" t="str">
        <x:v>years</x:v>
      </x:c>
      <x:c r="F21" s="4" t="str">
        <x:v>Analyst assumption</x:v>
      </x:c>
      <x:c r="G21" s="4" t="str">
        <x:v>0 to 5</x:v>
      </x:c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3" customHeight="1">
      <x:c r="C22" s="2" t="str">
        <x:v>Lab / analytical purification share</x:v>
      </x:c>
      <x:c r="D22" s="77" t="n">
        <x:v>0.35</x:v>
      </x:c>
      <x:c r="E22" s="4" t="str">
        <x:v>fraction</x:v>
      </x:c>
      <x:c r="F22" s="4" t="str">
        <x:v>Analyst assumption</x:v>
      </x:c>
      <x:c r="G22" s="4" t="str">
        <x:v>0 to 1</x:v>
      </x:c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3" customHeight="1">
      <x:c r="C23" s="2" t="str">
        <x:v>Manufacturing growth pass-through</x:v>
      </x:c>
      <x:c r="D23" s="77" t="n">
        <x:v>0</x:v>
      </x:c>
      <x:c r="E23" s="4" t="str">
        <x:v>fraction</x:v>
      </x:c>
      <x:c r="F23" s="4" t="str">
        <x:v>Analyst assumption</x:v>
      </x:c>
      <x:c r="G23" s="4" t="str">
        <x:v>0 to 1</x:v>
      </x:c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3" customHeight="1">
      <x:c r="C24" s="2" t="str">
        <x:v>Desired target floor</x:v>
      </x:c>
      <x:c r="D24" s="27" t="n">
        <x:v>2</x:v>
      </x:c>
      <x:c r="E24" s="4" t="str">
        <x:v>multiple</x:v>
      </x:c>
      <x:c r="F24" s="4" t="str">
        <x:v>Fixed web-model rule</x:v>
      </x:c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3" customHeight="1">
      <x:c r="C25" s="2" t="str">
        <x:v>Reference-cohort ceiling</x:v>
      </x:c>
      <x:c r="D25" s="27" t="n">
        <x:v>10</x:v>
      </x:c>
      <x:c r="E25" s="4" t="str">
        <x:v>multiple</x:v>
      </x:c>
      <x:c r="F25" s="4" t="str">
        <x:v>Fixed web-model rule</x:v>
      </x:c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3" customHeight="1">
      <x:c r="C26" s="2" t="str">
        <x:v>Manufacturing response exponent</x:v>
      </x:c>
      <x:c r="D26" s="27" t="n">
        <x:v>0.2</x:v>
      </x:c>
      <x:c r="E26" s="4" t="str">
        <x:v>exponent</x:v>
      </x:c>
      <x:c r="F26" s="4" t="str">
        <x:v>Fixed web-model rule</x:v>
      </x:c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3" customHeight="1">
      <x:c r="C27" s="2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3" customHeight="1">
      <x:c r="C28" s="2" t="str">
        <x:v>Global input status</x:v>
      </x:c>
      <x:c r="D28" s="29" t="str">
        <x:f>IF(OR(COUNT(D5,D10:D26)&lt;&gt;18,COUNT('Scenario'!AC9,'Scenario'!AC15,'Scenario'!AC21)&lt;&gt;3),"Missing numeric input",IF(AND(D5&gt;=1,D5&lt;=4,MOD(D5,1)=0,AND(D10&gt;=0,D10&lt;=200),AND(D11&gt;=2,D11&lt;=5,MOD(D11,1)=0),AND(D12&gt;=0,D12&lt;=1),AND(D13&gt;=0,D13&lt;=1),AND(D14&gt;=0,D14&lt;=1),AND(D15&gt;=0.1,D15&lt;=20),AND(D16&gt;=0.1,D16&lt;=20),AND(D17&gt;=0.05,D17&lt;=10),AND(D18&gt;=0.05,D18&lt;=10),AND(D19&gt;=0,D19&lt;=1),AND(D20&gt;=0.5,D20&lt;=3),AND(D21&gt;=0,D21&lt;=5),AND(D22&gt;=0,D22&lt;=1),AND(D23&gt;=0,D23&lt;=1),D24=2,D25=10,D26=0.2),"Valid","Out-of-range input"))</x:f>
        <x:v>Valid</x:v>
      </x:c>
      <x:c r="E28" s="30"/>
      <x:c r="F28" s="30"/>
      <x:c r="G28" s="30"/>
      <x:c r="H28" s="30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3" customHeight="1">
      <x:c r="C29" s="2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5" customHeight="1">
      <x:c r="C30" s="33" t="str">
        <x:v>Active coefficients</x:v>
      </x:c>
      <x:c r="D30" s="34"/>
      <x:c r="E30" s="34"/>
      <x:c r="F30" s="34"/>
      <x:c r="G30" s="3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32" customHeight="1">
      <x:c r="C31" s="18" t="str">
        <x:v>Family</x:v>
      </x:c>
      <x:c r="D31" s="19" t="str">
        <x:v>Build weight</x:v>
      </x:c>
      <x:c r="E31" s="19" t="str">
        <x:v>Response exponent</x:v>
      </x:c>
      <x:c r="F31" s="19" t="str">
        <x:v>Incremental price</x:v>
      </x:c>
      <x:c r="G31" s="19" t="str">
        <x:v>AI exposure</x:v>
      </x:c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3" customHeight="1">
      <x:c r="C32" s="2" t="str">
        <x:v>Molecular construction</x:v>
      </x:c>
      <x:c r="D32" s="36" t="n">
        <x:f>IF($D$5=4,IF($G32&gt;0,($E$100*$G$43*D43+$E$101*$G$53*D53+$E$102*$G$63*D63)/$G32,0),CHOOSE($D$5,D43,D53,D63))</x:f>
        <x:v>0.9166666666666667</x:v>
      </x:c>
      <x:c r="E32" s="37" t="n">
        <x:f>IF($D$5=4,IF($G32&gt;0,($E$100*$G$43*E43+$E$101*$G$53*E53+$E$102*$G$63*E63)/$G32,0),CHOOSE($D$5,E43,E53,E63))</x:f>
        <x:v>0.7666666666666666</x:v>
      </x:c>
      <x:c r="F32" s="37" t="n">
        <x:f>IF($D$5=4,IF($G32&gt;0,($E$100*$G$43*F43+$E$101*$G$53*F53+$E$102*$G$63*F63)/$G32,0),CHOOSE($D$5,F43,F53,F63))</x:f>
        <x:v>1</x:v>
      </x:c>
      <x:c r="G32" s="36" t="n">
        <x:f>IF($D$5=4,$E$100*$G$43+$E$101*$G$53+$E$102*$G$63,CHOOSE($D$5,G43,G53,G63))</x:f>
        <x:v>0.11999999999999998</x:v>
      </x:c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3" customHeight="1">
      <x:c r="C33" s="2" t="str">
        <x:v>Protein &amp; functional assays</x:v>
      </x:c>
      <x:c r="D33" s="36" t="n">
        <x:f>IF($D$5=4,IF($G33&gt;0,($E$100*$G$44*D44+$E$101*$G$54*D54+$E$102*$G$64*D64)/$G33,0),CHOOSE($D$5,D44,D54,D64))</x:f>
        <x:v>0.11</x:v>
      </x:c>
      <x:c r="E33" s="37" t="n">
        <x:f>IF($D$5=4,IF($G33&gt;0,($E$100*$G$44*E44+$E$101*$G$54*E54+$E$102*$G$64*E64)/$G33,0),CHOOSE($D$5,E44,E54,E64))</x:f>
        <x:v>0.7599999999999999</x:v>
      </x:c>
      <x:c r="F33" s="37" t="n">
        <x:f>IF($D$5=4,IF($G33&gt;0,($E$100*$G$44*F44+$E$101*$G$54*F54+$E$102*$G$64*F64)/$G33,0),CHOOSE($D$5,F44,F54,F64))</x:f>
        <x:v>1</x:v>
      </x:c>
      <x:c r="G33" s="36" t="n">
        <x:f>IF($D$5=4,$E$100*$G$44+$E$101*$G$54+$E$102*$G$64,CHOOSE($D$5,G44,G54,G64))</x:f>
        <x:v>0.13333333333333333</x:v>
      </x:c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3" customHeight="1">
      <x:c r="C34" s="2" t="str">
        <x:v>Cells &amp; culture systems</x:v>
      </x:c>
      <x:c r="D34" s="36" t="n">
        <x:f>IF($D$5=4,IF($G34&gt;0,($E$100*$G$45*D45+$E$101*$G$55*D55+$E$102*$G$65*D65)/$G34,0),CHOOSE($D$5,D45,D55,D65))</x:f>
        <x:v>0.06063829787234042</x:v>
      </x:c>
      <x:c r="E34" s="37" t="n">
        <x:f>IF($D$5=4,IF($G34&gt;0,($E$100*$G$45*E45+$E$101*$G$55*E55+$E$102*$G$65*E65)/$G34,0),CHOOSE($D$5,E45,E55,E65))</x:f>
        <x:v>0.9223404255319148</x:v>
      </x:c>
      <x:c r="F34" s="37" t="n">
        <x:f>IF($D$5=4,IF($G34&gt;0,($E$100*$G$45*F45+$E$101*$G$55*F55+$E$102*$G$65*F65)/$G34,0),CHOOSE($D$5,F45,F55,F65))</x:f>
        <x:v>1</x:v>
      </x:c>
      <x:c r="G34" s="36" t="n">
        <x:f>IF($D$5=4,$E$100*$G$45+$E$101*$G$55+$E$102*$G$65,CHOOSE($D$5,G45,G55,G65))</x:f>
        <x:v>0.15666666666666668</x:v>
      </x:c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3" customHeight="1">
      <x:c r="C35" s="2" t="str">
        <x:v>Labware &amp; sample handling</x:v>
      </x:c>
      <x:c r="D35" s="36" t="n">
        <x:f>IF($D$5=4,IF($G35&gt;0,($E$100*$G$46*D46+$E$101*$G$56*D56+$E$102*$G$66*D66)/$G35,0),CHOOSE($D$5,D46,D56,D66))</x:f>
        <x:v>0.27142857142857146</x:v>
      </x:c>
      <x:c r="E35" s="37" t="n">
        <x:f>IF($D$5=4,IF($G35&gt;0,($E$100*$G$46*E46+$E$101*$G$56*E56+$E$102*$G$66*E66)/$G35,0),CHOOSE($D$5,E46,E56,E66))</x:f>
        <x:v>0.3928571428571429</x:v>
      </x:c>
      <x:c r="F35" s="37" t="n">
        <x:f>IF($D$5=4,IF($G35&gt;0,($E$100*$G$46*F46+$E$101*$G$56*F56+$E$102*$G$66*F66)/$G35,0),CHOOSE($D$5,F46,F56,F66))</x:f>
        <x:v>1</x:v>
      </x:c>
      <x:c r="G35" s="36" t="n">
        <x:f>IF($D$5=4,$E$100*$G$46+$E$101*$G$56+$E$102*$G$66,CHOOSE($D$5,G46,G56,G66))</x:f>
        <x:v>0.09333333333333332</x:v>
      </x:c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3" customHeight="1">
      <x:c r="C36" s="2" t="str">
        <x:v>Measurement &amp; analytics</x:v>
      </x:c>
      <x:c r="D36" s="36" t="n">
        <x:f>IF($D$5=4,IF($G36&gt;0,($E$100*$G$47*D47+$E$101*$G$57*D57+$E$102*$G$67*D67)/$G36,0),CHOOSE($D$5,D47,D57,D67))</x:f>
        <x:v>0.049999999999999996</x:v>
      </x:c>
      <x:c r="E36" s="37" t="n">
        <x:f>IF($D$5=4,IF($G36&gt;0,($E$100*$G$47*E47+$E$101*$G$57*E57+$E$102*$G$67*E67)/$G36,0),CHOOSE($D$5,E47,E57,E67))</x:f>
        <x:v>0.8636363636363635</x:v>
      </x:c>
      <x:c r="F36" s="37" t="n">
        <x:f>IF($D$5=4,IF($G36&gt;0,($E$100*$G$47*F47+$E$101*$G$57*F57+$E$102*$G$67*F67)/$G36,0),CHOOSE($D$5,F47,F57,F67))</x:f>
        <x:v>1</x:v>
      </x:c>
      <x:c r="G36" s="36" t="n">
        <x:f>IF($D$5=4,$E$100*$G$47+$E$101*$G$57+$E$102*$G$67,CHOOSE($D$5,G47,G57,G67))</x:f>
        <x:v>0.14666666666666667</x:v>
      </x:c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3" customHeight="1">
      <x:c r="C37" s="2" t="str">
        <x:v>Purification &amp; scale-up</x:v>
      </x:c>
      <x:c r="D37" s="36" t="n">
        <x:f>IF($D$5=4,IF($G37&gt;0,($E$100*$G$48*D48+$E$101*$G$58*D58+$E$102*$G$68*D68)/$G37,0),CHOOSE($D$5,D48,D58,D68))</x:f>
        <x:v>0.58125</x:v>
      </x:c>
      <x:c r="E37" s="37" t="n">
        <x:f>IF($D$5=4,IF($G37&gt;0,($E$100*$G$48*E48+$E$101*$G$58*E58+$E$102*$G$68*E68)/$G37,0),CHOOSE($D$5,E48,E58,E68))</x:f>
        <x:v>0.41250000000000003</x:v>
      </x:c>
      <x:c r="F37" s="37" t="n">
        <x:f>IF($D$5=4,IF($G37&gt;0,($E$100*$G$48*F48+$E$101*$G$58*F58+$E$102*$G$68*F68)/$G37,0),CHOOSE($D$5,F48,F58,F68))</x:f>
        <x:v>1</x:v>
      </x:c>
      <x:c r="G37" s="36" t="n">
        <x:f>IF($D$5=4,$E$100*$G$48+$E$101*$G$58+$E$102*$G$68,CHOOSE($D$5,G48,G58,G68))</x:f>
        <x:v>0.05333333333333332</x:v>
      </x:c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3" customHeight="1">
      <x:c r="C38" s="2" t="str">
        <x:v>Total averages here are descriptive. Final purchases aggregate evaluated workflow responses.</x:v>
      </x:c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3" customHeight="1">
      <x:c r="C39" s="2" t="str">
        <x:v>Selected coefficient status</x:v>
      </x:c>
      <x:c r="D39" s="35" t="str">
        <x:f>IF($D$28&lt;&gt;"Valid","Invalid global inputs",IF($D$5=4,IF($D$105&lt;&gt;"Valid","Invalid workflow mix",IF(AND(IF(E100&gt;0,F100="Valid",TRUE),IF(E101&gt;0,F101="Valid",TRUE),IF(E102&gt;0,F102="Valid",TRUE)),"Valid","Missing or invalid coefficient")),INDEX(F100:F102,$D$5)))</x:f>
        <x:v>Valid</x:v>
      </x:c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3" customHeight="1">
      <x:c r="C40" s="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5" customHeight="1">
      <x:c r="C41" s="33" t="str">
        <x:v>Protein / antibody discovery</x:v>
      </x:c>
      <x:c r="D41" s="34"/>
      <x:c r="E41" s="34"/>
      <x:c r="F41" s="34"/>
      <x:c r="G41" s="3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32" customHeight="1">
      <x:c r="C42" s="18" t="str">
        <x:v>Editable preset</x:v>
      </x:c>
      <x:c r="D42" s="19" t="str">
        <x:v>Build weight</x:v>
      </x:c>
      <x:c r="E42" s="19" t="str">
        <x:v>Response exponent</x:v>
      </x:c>
      <x:c r="F42" s="19" t="str">
        <x:v>Incremental price</x:v>
      </x:c>
      <x:c r="G42" s="19" t="str">
        <x:v>AI exposure</x:v>
      </x:c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3" customHeight="1">
      <x:c r="C43" s="2" t="str">
        <x:v>Molecular construction</x:v>
      </x:c>
      <x:c r="D43" s="23" t="n">
        <x:v>1</x:v>
      </x:c>
      <x:c r="E43" s="38" t="n">
        <x:v>0.9</x:v>
      </x:c>
      <x:c r="F43" s="38" t="n">
        <x:v>1</x:v>
      </x:c>
      <x:c r="G43" s="23" t="n">
        <x:v>0.12</x:v>
      </x:c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3" customHeight="1">
      <x:c r="C44" s="2" t="str">
        <x:v>Protein &amp; functional assays</x:v>
      </x:c>
      <x:c r="D44" s="23" t="n">
        <x:v>0.15</x:v>
      </x:c>
      <x:c r="E44" s="38" t="n">
        <x:v>0.95</x:v>
      </x:c>
      <x:c r="F44" s="38" t="n">
        <x:v>1</x:v>
      </x:c>
      <x:c r="G44" s="23" t="n">
        <x:v>0.2</x:v>
      </x:c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3" customHeight="1">
      <x:c r="C45" s="2" t="str">
        <x:v>Cells &amp; culture systems</x:v>
      </x:c>
      <x:c r="D45" s="23" t="n">
        <x:v>0.1</x:v>
      </x:c>
      <x:c r="E45" s="38" t="n">
        <x:v>0.75</x:v>
      </x:c>
      <x:c r="F45" s="38" t="n">
        <x:v>1</x:v>
      </x:c>
      <x:c r="G45" s="23" t="n">
        <x:v>0.1</x:v>
      </x:c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3" customHeight="1">
      <x:c r="C46" s="2" t="str">
        <x:v>Labware &amp; sample handling</x:v>
      </x:c>
      <x:c r="D46" s="23" t="n">
        <x:v>0.35</x:v>
      </x:c>
      <x:c r="E46" s="38" t="n">
        <x:v>0.4</x:v>
      </x:c>
      <x:c r="F46" s="38" t="n">
        <x:v>1</x:v>
      </x:c>
      <x:c r="G46" s="23" t="n">
        <x:v>0.08</x:v>
      </x:c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3" customHeight="1">
      <x:c r="C47" s="2" t="str">
        <x:v>Measurement &amp; analytics</x:v>
      </x:c>
      <x:c r="D47" s="23" t="n">
        <x:v>0.05</x:v>
      </x:c>
      <x:c r="E47" s="38" t="n">
        <x:v>0.7</x:v>
      </x:c>
      <x:c r="F47" s="38" t="n">
        <x:v>1</x:v>
      </x:c>
      <x:c r="G47" s="23" t="n">
        <x:v>0.12</x:v>
      </x:c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3" customHeight="1">
      <x:c r="C48" s="2" t="str">
        <x:v>Purification &amp; scale-up</x:v>
      </x:c>
      <x:c r="D48" s="23" t="n">
        <x:v>0.6</x:v>
      </x:c>
      <x:c r="E48" s="38" t="n">
        <x:v>0.5</x:v>
      </x:c>
      <x:c r="F48" s="38" t="n">
        <x:v>1</x:v>
      </x:c>
      <x:c r="G48" s="23" t="n">
        <x:v>0.06</x:v>
      </x:c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  <x:row r="49" ht="23" customHeight="1">
      <x:c r="C49" s="2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</x:row>
    <x:row r="50" ht="23" customHeight="1">
      <x:c r="C50" s="2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</x:row>
    <x:row r="51" ht="25" customHeight="1">
      <x:c r="C51" s="33" t="str">
        <x:v>Cell-data / perturbation factory</x:v>
      </x:c>
      <x:c r="D51" s="34"/>
      <x:c r="E51" s="34"/>
      <x:c r="F51" s="34"/>
      <x:c r="G51" s="3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32" customHeight="1">
      <x:c r="C52" s="18" t="str">
        <x:v>Editable preset</x:v>
      </x:c>
      <x:c r="D52" s="19" t="str">
        <x:v>Build weight</x:v>
      </x:c>
      <x:c r="E52" s="19" t="str">
        <x:v>Response exponent</x:v>
      </x:c>
      <x:c r="F52" s="19" t="str">
        <x:v>Incremental price</x:v>
      </x:c>
      <x:c r="G52" s="19" t="str">
        <x:v>AI exposure</x:v>
      </x:c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3" customHeight="1">
      <x:c r="C53" s="2" t="str">
        <x:v>Molecular construction</x:v>
      </x:c>
      <x:c r="D53" s="23" t="n">
        <x:v>0.75</x:v>
      </x:c>
      <x:c r="E53" s="38" t="n">
        <x:v>0.8</x:v>
      </x:c>
      <x:c r="F53" s="38" t="n">
        <x:v>1</x:v>
      </x:c>
      <x:c r="G53" s="23" t="n">
        <x:v>0.12</x:v>
      </x:c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3" customHeight="1">
      <x:c r="C54" s="2" t="str">
        <x:v>Protein &amp; functional assays</x:v>
      </x:c>
      <x:c r="D54" s="23" t="n">
        <x:v>0.05</x:v>
      </x:c>
      <x:c r="E54" s="38" t="n">
        <x:v>0.65</x:v>
      </x:c>
      <x:c r="F54" s="38" t="n">
        <x:v>1</x:v>
      </x:c>
      <x:c r="G54" s="23" t="n">
        <x:v>0.12</x:v>
      </x:c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3" customHeight="1">
      <x:c r="C55" s="2" t="str">
        <x:v>Cells &amp; culture systems</x:v>
      </x:c>
      <x:c r="D55" s="23" t="n">
        <x:v>0.05</x:v>
      </x:c>
      <x:c r="E55" s="38" t="n">
        <x:v>1.05</x:v>
      </x:c>
      <x:c r="F55" s="38" t="n">
        <x:v>1</x:v>
      </x:c>
      <x:c r="G55" s="23" t="n">
        <x:v>0.25</x:v>
      </x:c>
      <x:c r="H55" s="4"/>
      <x:c r="I55" s="4"/>
      <x:c r="J55" s="4"/>
      <x:c r="K55" s="4"/>
      <x:c r="L55" s="4"/>
      <x:c r="M55" s="4"/>
      <x:c r="N55" s="4"/>
      <x:c r="O55" s="4"/>
      <x:c r="P55" s="4"/>
      <x:c r="Q55" s="4"/>
    </x:row>
    <x:row r="56" ht="23" customHeight="1">
      <x:c r="C56" s="2" t="str">
        <x:v>Labware &amp; sample handling</x:v>
      </x:c>
      <x:c r="D56" s="23" t="n">
        <x:v>0.2</x:v>
      </x:c>
      <x:c r="E56" s="38" t="n">
        <x:v>0.45</x:v>
      </x:c>
      <x:c r="F56" s="38" t="n">
        <x:v>1</x:v>
      </x:c>
      <x:c r="G56" s="23" t="n">
        <x:v>0.12</x:v>
      </x:c>
      <x:c r="H56" s="4"/>
      <x:c r="I56" s="4"/>
      <x:c r="J56" s="4"/>
      <x:c r="K56" s="4"/>
      <x:c r="L56" s="4"/>
      <x:c r="M56" s="4"/>
      <x:c r="N56" s="4"/>
      <x:c r="O56" s="4"/>
      <x:c r="P56" s="4"/>
      <x:c r="Q56" s="4"/>
    </x:row>
    <x:row r="57" ht="23" customHeight="1">
      <x:c r="C57" s="2" t="str">
        <x:v>Measurement &amp; analytics</x:v>
      </x:c>
      <x:c r="D57" s="23" t="n">
        <x:v>0.02</x:v>
      </x:c>
      <x:c r="E57" s="38" t="n">
        <x:v>1</x:v>
      </x:c>
      <x:c r="F57" s="38" t="n">
        <x:v>1</x:v>
      </x:c>
      <x:c r="G57" s="23" t="n">
        <x:v>0.2</x:v>
      </x:c>
      <x:c r="H57" s="4"/>
      <x:c r="I57" s="4"/>
      <x:c r="J57" s="4"/>
      <x:c r="K57" s="4"/>
      <x:c r="L57" s="4"/>
      <x:c r="M57" s="4"/>
      <x:c r="N57" s="4"/>
      <x:c r="O57" s="4"/>
      <x:c r="P57" s="4"/>
      <x:c r="Q57" s="4"/>
    </x:row>
    <x:row r="58" ht="23" customHeight="1">
      <x:c r="C58" s="2" t="str">
        <x:v>Purification &amp; scale-up</x:v>
      </x:c>
      <x:c r="D58" s="23" t="n">
        <x:v>0.45</x:v>
      </x:c>
      <x:c r="E58" s="38" t="n">
        <x:v>0.3</x:v>
      </x:c>
      <x:c r="F58" s="38" t="n">
        <x:v>1</x:v>
      </x:c>
      <x:c r="G58" s="23" t="n">
        <x:v>0.04</x:v>
      </x:c>
      <x:c r="H58" s="4"/>
      <x:c r="I58" s="4"/>
      <x:c r="J58" s="4"/>
      <x:c r="K58" s="4"/>
      <x:c r="L58" s="4"/>
      <x:c r="M58" s="4"/>
      <x:c r="N58" s="4"/>
      <x:c r="O58" s="4"/>
      <x:c r="P58" s="4"/>
      <x:c r="Q58" s="4"/>
    </x:row>
    <x:row r="59" ht="23" customHeight="1">
      <x:c r="C59" s="2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</x:row>
    <x:row r="60" ht="23" customHeight="1">
      <x:c r="C60" s="2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</x:row>
    <x:row r="61" ht="25" customHeight="1">
      <x:c r="C61" s="33" t="str">
        <x:v>Small-molecule discovery</x:v>
      </x:c>
      <x:c r="D61" s="34"/>
      <x:c r="E61" s="34"/>
      <x:c r="F61" s="34"/>
      <x:c r="G61" s="34"/>
      <x:c r="H61" s="4"/>
      <x:c r="I61" s="4"/>
      <x:c r="J61" s="4"/>
      <x:c r="K61" s="4"/>
      <x:c r="L61" s="4"/>
      <x:c r="M61" s="4"/>
      <x:c r="N61" s="4"/>
      <x:c r="O61" s="4"/>
      <x:c r="P61" s="4"/>
      <x:c r="Q61" s="4"/>
    </x:row>
    <x:row r="62" ht="32" customHeight="1">
      <x:c r="C62" s="18" t="str">
        <x:v>Editable preset</x:v>
      </x:c>
      <x:c r="D62" s="19" t="str">
        <x:v>Build weight</x:v>
      </x:c>
      <x:c r="E62" s="19" t="str">
        <x:v>Response exponent</x:v>
      </x:c>
      <x:c r="F62" s="19" t="str">
        <x:v>Incremental price</x:v>
      </x:c>
      <x:c r="G62" s="19" t="str">
        <x:v>AI exposure</x:v>
      </x:c>
      <x:c r="H62" s="4"/>
      <x:c r="I62" s="4"/>
      <x:c r="J62" s="4"/>
      <x:c r="K62" s="4"/>
      <x:c r="L62" s="4"/>
      <x:c r="M62" s="4"/>
      <x:c r="N62" s="4"/>
      <x:c r="O62" s="4"/>
      <x:c r="P62" s="4"/>
      <x:c r="Q62" s="4"/>
    </x:row>
    <x:row r="63" ht="23" customHeight="1">
      <x:c r="C63" s="2" t="str">
        <x:v>Molecular construction</x:v>
      </x:c>
      <x:c r="D63" s="23" t="n">
        <x:v>1</x:v>
      </x:c>
      <x:c r="E63" s="38" t="n">
        <x:v>0.6</x:v>
      </x:c>
      <x:c r="F63" s="38" t="n">
        <x:v>1</x:v>
      </x:c>
      <x:c r="G63" s="23" t="n">
        <x:v>0.12</x:v>
      </x:c>
      <x:c r="H63" s="4"/>
      <x:c r="I63" s="4"/>
      <x:c r="J63" s="4"/>
      <x:c r="K63" s="4"/>
      <x:c r="L63" s="4"/>
      <x:c r="M63" s="4"/>
      <x:c r="N63" s="4"/>
      <x:c r="O63" s="4"/>
      <x:c r="P63" s="4"/>
      <x:c r="Q63" s="4"/>
    </x:row>
    <x:row r="64" ht="23" customHeight="1">
      <x:c r="C64" s="2" t="str">
        <x:v>Protein &amp; functional assays</x:v>
      </x:c>
      <x:c r="D64" s="23" t="n">
        <x:v>0.1</x:v>
      </x:c>
      <x:c r="E64" s="38" t="n">
        <x:v>0.45</x:v>
      </x:c>
      <x:c r="F64" s="38" t="n">
        <x:v>1</x:v>
      </x:c>
      <x:c r="G64" s="23" t="n">
        <x:v>0.08</x:v>
      </x:c>
      <x:c r="H64" s="4"/>
      <x:c r="I64" s="4"/>
      <x:c r="J64" s="4"/>
      <x:c r="K64" s="4"/>
      <x:c r="L64" s="4"/>
      <x:c r="M64" s="4"/>
      <x:c r="N64" s="4"/>
      <x:c r="O64" s="4"/>
      <x:c r="P64" s="4"/>
      <x:c r="Q64" s="4"/>
    </x:row>
    <x:row r="65" ht="23" customHeight="1">
      <x:c r="C65" s="2" t="str">
        <x:v>Cells &amp; culture systems</x:v>
      </x:c>
      <x:c r="D65" s="23" t="n">
        <x:v>0.05</x:v>
      </x:c>
      <x:c r="E65" s="38" t="n">
        <x:v>0.8</x:v>
      </x:c>
      <x:c r="F65" s="38" t="n">
        <x:v>1</x:v>
      </x:c>
      <x:c r="G65" s="23" t="n">
        <x:v>0.12</x:v>
      </x:c>
      <x:c r="H65" s="4"/>
      <x:c r="I65" s="4"/>
      <x:c r="J65" s="4"/>
      <x:c r="K65" s="4"/>
      <x:c r="L65" s="4"/>
      <x:c r="M65" s="4"/>
      <x:c r="N65" s="4"/>
      <x:c r="O65" s="4"/>
      <x:c r="P65" s="4"/>
      <x:c r="Q65" s="4"/>
    </x:row>
    <x:row r="66" ht="23" customHeight="1">
      <x:c r="C66" s="2" t="str">
        <x:v>Labware &amp; sample handling</x:v>
      </x:c>
      <x:c r="D66" s="23" t="n">
        <x:v>0.3</x:v>
      </x:c>
      <x:c r="E66" s="38" t="n">
        <x:v>0.3</x:v>
      </x:c>
      <x:c r="F66" s="38" t="n">
        <x:v>1</x:v>
      </x:c>
      <x:c r="G66" s="23" t="n">
        <x:v>0.08</x:v>
      </x:c>
      <x:c r="H66" s="4"/>
      <x:c r="I66" s="4"/>
      <x:c r="J66" s="4"/>
      <x:c r="K66" s="4"/>
      <x:c r="L66" s="4"/>
      <x:c r="M66" s="4"/>
      <x:c r="N66" s="4"/>
      <x:c r="O66" s="4"/>
      <x:c r="P66" s="4"/>
      <x:c r="Q66" s="4"/>
    </x:row>
    <x:row r="67" ht="23" customHeight="1">
      <x:c r="C67" s="2" t="str">
        <x:v>Measurement &amp; analytics</x:v>
      </x:c>
      <x:c r="D67" s="23" t="n">
        <x:v>0.1</x:v>
      </x:c>
      <x:c r="E67" s="38" t="n">
        <x:v>0.8</x:v>
      </x:c>
      <x:c r="F67" s="38" t="n">
        <x:v>1</x:v>
      </x:c>
      <x:c r="G67" s="23" t="n">
        <x:v>0.12</x:v>
      </x:c>
      <x:c r="H67" s="4"/>
      <x:c r="I67" s="4"/>
      <x:c r="J67" s="4"/>
      <x:c r="K67" s="4"/>
      <x:c r="L67" s="4"/>
      <x:c r="M67" s="4"/>
      <x:c r="N67" s="4"/>
      <x:c r="O67" s="4"/>
      <x:c r="P67" s="4"/>
      <x:c r="Q67" s="4"/>
    </x:row>
    <x:row r="68" ht="23" customHeight="1">
      <x:c r="C68" s="2" t="str">
        <x:v>Purification &amp; scale-up</x:v>
      </x:c>
      <x:c r="D68" s="23" t="n">
        <x:v>0.65</x:v>
      </x:c>
      <x:c r="E68" s="38" t="n">
        <x:v>0.4</x:v>
      </x:c>
      <x:c r="F68" s="38" t="n">
        <x:v>1</x:v>
      </x:c>
      <x:c r="G68" s="23" t="n">
        <x:v>0.06</x:v>
      </x:c>
      <x:c r="H68" s="4"/>
      <x:c r="I68" s="4"/>
      <x:c r="J68" s="4"/>
      <x:c r="K68" s="4"/>
      <x:c r="L68" s="4"/>
      <x:c r="M68" s="4"/>
      <x:c r="N68" s="4"/>
      <x:c r="O68" s="4"/>
      <x:c r="P68" s="4"/>
      <x:c r="Q68" s="4"/>
    </x:row>
    <x:row r="69" ht="23" customHeight="1">
      <x:c r="C69" s="2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</x:row>
    <x:row r="70" ht="23" customHeight="1">
      <x:c r="C70" s="2" t="str">
        <x:v>Use dashboard sliders or numbers. Edit other blue cells and workflow presets here.</x:v>
      </x:c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</x:row>
    <x:row r="71" ht="23" customHeight="1">
      <x:c r="C71" s="2" t="str">
        <x:v>Prices scale incremental purchases only. AI exposure is hypothetical.</x:v>
      </x:c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</x:row>
    <x:row r="72" ht="23" customHeight="1">
      <x:c r="C72" s="2" t="str">
        <x:v>Rollout realization applies once to incremental activity. Annual costs include people and shared operations.</x:v>
      </x:c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</x:row>
    <x:row r="73" ht="23" customHeight="1">
      <x:c r="C73" s="2" t="str">
        <x:v>No separate manual overrides. Change the selected preset cells to customize the workflow.</x:v>
      </x:c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</x:row>
    <x:row r="74" ht="23" customHeight="1">
      <x:c r="C74" s="2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</x:row>
    <x:row r="75" ht="25" customHeight="1">
      <x:c r="C75" s="33" t="str">
        <x:v>Primary-source context</x:v>
      </x:c>
      <x:c r="D75" s="34"/>
      <x:c r="E75" s="34"/>
      <x:c r="F75" s="34"/>
      <x:c r="G75" s="34"/>
      <x:c r="H75" s="4"/>
      <x:c r="I75" s="4"/>
      <x:c r="J75" s="4"/>
      <x:c r="K75" s="4"/>
      <x:c r="L75" s="4"/>
      <x:c r="M75" s="4"/>
      <x:c r="N75" s="4"/>
      <x:c r="O75" s="4"/>
      <x:c r="P75" s="4"/>
      <x:c r="Q75" s="4"/>
    </x:row>
    <x:row r="76" ht="32" customHeight="1">
      <x:c r="C76" s="18" t="str">
        <x:v>Announcement</x:v>
      </x:c>
      <x:c r="D76" s="19" t="str">
        <x:v>Date</x:v>
      </x:c>
      <x:c r="E76" s="19" t="str">
        <x:v>US$bn</x:v>
      </x:c>
      <x:c r="F76" s="19" t="str">
        <x:v>Horizon (years)</x:v>
      </x:c>
      <x:c r="G76" s="19" t="str">
        <x:v>Scope boundary</x:v>
      </x:c>
      <x:c r="H76" s="4"/>
      <x:c r="I76" s="4"/>
      <x:c r="J76" s="4"/>
      <x:c r="K76" s="4"/>
      <x:c r="L76" s="4"/>
      <x:c r="M76" s="4"/>
      <x:c r="N76" s="4"/>
      <x:c r="O76" s="4"/>
      <x:c r="P76" s="4"/>
      <x:c r="Q76" s="4"/>
    </x:row>
    <x:row r="77" ht="23" customHeight="1">
      <x:c r="C77" s="2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</x:row>
    <x:row r="78" ht="68" customHeight="1">
      <x:c r="C78" s="2" t="str">
        <x:v>Biohub (April)</x:v>
      </x:c>
      <x:c r="D78" s="39" t="d">
        <x:v>2026-04-29T00:00:00.000Z</x:v>
      </x:c>
      <x:c r="E78" s="4" t="n">
        <x:v>0.5</x:v>
      </x:c>
      <x:c r="F78" s="4" t="n">
        <x:v>5</x:v>
      </x:c>
      <x:c r="G78" s="40" t="str">
        <x:v>Data generation and measurement technologies. Included in the October announcement.</x:v>
      </x:c>
      <x:c r="H78" s="4"/>
      <x:c r="I78" s="4"/>
      <x:c r="J78" s="4"/>
      <x:c r="K78" s="4"/>
      <x:c r="L78" s="4"/>
      <x:c r="M78" s="4"/>
      <x:c r="N78" s="4"/>
      <x:c r="O78" s="4"/>
      <x:c r="P78" s="4"/>
      <x:c r="Q78" s="4"/>
    </x:row>
    <x:row r="79" ht="23" customHeight="1">
      <x:c r="C79" s="2" t="str">
        <x:v>https://biohub.org/news/virtual-biology-initiative/</x:v>
      </x:c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</x:row>
    <x:row r="80" ht="23" customHeight="1">
      <x:c r="C80" s="2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</x:row>
    <x:row r="81" ht="23" customHeight="1">
      <x:c r="C81" s="2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</x:row>
    <x:row r="82" ht="68" customHeight="1">
      <x:c r="C82" s="2" t="str">
        <x:v>Biohub / partners (October)</x:v>
      </x:c>
      <x:c r="D82" s="39" t="d">
        <x:v>2026-10-07T00:00:00.000Z</x:v>
      </x:c>
      <x:c r="E82" s="4" t="n">
        <x:v>1.8</x:v>
      </x:c>
      <x:c r="F82" s="4" t="str">
        <x:v>Mixed</x:v>
      </x:c>
      <x:c r="G82" s="40" t="str">
        <x:v>Includes prior NIH investment, compute and data. Not all new cash.</x:v>
      </x:c>
      <x:c r="H82" s="4"/>
      <x:c r="I82" s="4"/>
      <x:c r="J82" s="4"/>
      <x:c r="K82" s="4"/>
      <x:c r="L82" s="4"/>
      <x:c r="M82" s="4"/>
      <x:c r="N82" s="4"/>
      <x:c r="O82" s="4"/>
      <x:c r="P82" s="4"/>
      <x:c r="Q82" s="4"/>
    </x:row>
    <x:row r="83" ht="23" customHeight="1">
      <x:c r="C83" s="2" t="str">
        <x:v>https://biohub.org/news/virtual-biology-initiative-expansion/</x:v>
      </x:c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</x:row>
    <x:row r="84" ht="23" customHeight="1">
      <x:c r="C84" s="2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</x:row>
    <x:row r="85" ht="23" customHeight="1">
      <x:c r="C85" s="2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</x:row>
    <x:row r="86" ht="68" customHeight="1">
      <x:c r="C86" s="2" t="str">
        <x:v>Lilly / NVIDIA</x:v>
      </x:c>
      <x:c r="D86" s="39" t="d">
        <x:v>2026-01-12T00:00:00.000Z</x:v>
      </x:c>
      <x:c r="E86" s="4" t="n">
        <x:v>1</x:v>
      </x:c>
      <x:c r="F86" s="4" t="n">
        <x:v>5</x:v>
      </x:c>
      <x:c r="G86" s="40" t="str">
        <x:v>Up to US$1bn. Talent, infrastructure and compute. No wet-lab split.</x:v>
      </x:c>
      <x:c r="H86" s="4"/>
      <x:c r="I86" s="4"/>
      <x:c r="J86" s="4"/>
      <x:c r="K86" s="4"/>
      <x:c r="L86" s="4"/>
      <x:c r="M86" s="4"/>
      <x:c r="N86" s="4"/>
      <x:c r="O86" s="4"/>
      <x:c r="P86" s="4"/>
      <x:c r="Q86" s="4"/>
    </x:row>
    <x:row r="87" ht="23" customHeight="1">
      <x:c r="C87" s="2" t="str">
        <x:v>https://lilly.gcs-web.com/news-releases/news-release-details/nvidia-and-lilly-announce-co-innovation-ai-lab-reinvent-drug</x:v>
      </x:c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</x:row>
    <x:row r="88" ht="23" customHeight="1">
      <x:c r="C88" s="2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</x:row>
    <x:row r="89" ht="23" customHeight="1">
      <x:c r="C89" s="2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</x:row>
    <x:row r="90" ht="68" customHeight="1">
      <x:c r="C90" s="2" t="str">
        <x:v>Isomorphic Labs</x:v>
      </x:c>
      <x:c r="D90" s="39" t="d">
        <x:v>2026-05-12T00:00:00.000Z</x:v>
      </x:c>
      <x:c r="E90" s="4" t="n">
        <x:v>2.1</x:v>
      </x:c>
      <x:c r="F90" s="4" t="str">
        <x:v>Undisclosed</x:v>
      </x:c>
      <x:c r="G90" s="40" t="str">
        <x:v>Corporate financing, not infrastructure procurement. No spending horizon.</x:v>
      </x:c>
      <x:c r="H90" s="4"/>
      <x:c r="I90" s="4"/>
      <x:c r="J90" s="4"/>
      <x:c r="K90" s="4"/>
      <x:c r="L90" s="4"/>
      <x:c r="M90" s="4"/>
      <x:c r="N90" s="4"/>
      <x:c r="O90" s="4"/>
      <x:c r="P90" s="4"/>
      <x:c r="Q90" s="4"/>
    </x:row>
    <x:row r="91" ht="23" customHeight="1">
      <x:c r="C91" s="2" t="str">
        <x:v>https://www.isomorphiclabs.com/press/isomorphic-labs-funding</x:v>
      </x:c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</x:row>
    <x:row r="92" ht="23" customHeight="1">
      <x:c r="C92" s="2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</x:row>
    <x:row r="93" ht="23" customHeight="1">
      <x:c r="C93" s="2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</x:row>
    <x:row r="94" ht="23" customHeight="1">
      <x:c r="C94" s="2" t="str">
        <x:v>Announcements provide context. They are not summed or used to calibrate the model.</x:v>
      </x:c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</x:row>
    <x:row r="95" ht="23" customHeight="1">
      <x:c r="C95" s="2" t="str">
        <x:v>https://wizardzxx-tech.github.io/chart/v2/scenarios/methodology.md</x:v>
      </x:c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</x:row>
    <x:row r="96" ht="23" customHeight="1">
      <x:c r="C96" s="2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</x:row>
    <x:row r="97" ht="23" customHeight="1">
      <x:c r="C97" s="2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</x:row>
    <x:row r="98" ht="25" customHeight="1">
      <x:c r="C98" s="33" t="str">
        <x:v>Workflow mix: funding + reference cohort</x:v>
      </x:c>
      <x:c r="D98" s="34"/>
      <x:c r="E98" s="34"/>
      <x:c r="F98" s="34"/>
      <x:c r="G98" s="34"/>
      <x:c r="H98" s="4"/>
      <x:c r="I98" s="4"/>
      <x:c r="J98" s="4"/>
      <x:c r="K98" s="4"/>
      <x:c r="L98" s="4"/>
      <x:c r="M98" s="4"/>
      <x:c r="N98" s="4"/>
      <x:c r="O98" s="4"/>
      <x:c r="P98" s="4"/>
      <x:c r="Q98" s="4"/>
    </x:row>
    <x:row r="99" ht="32" customHeight="1">
      <x:c r="C99" s="18" t="str">
        <x:v>Workflow</x:v>
      </x:c>
      <x:c r="D99" s="19" t="str">
        <x:v>Raw weight</x:v>
      </x:c>
      <x:c r="E99" s="19" t="str">
        <x:v>Normalized mix</x:v>
      </x:c>
      <x:c r="F99" s="19" t="str">
        <x:v>Preset status</x:v>
      </x:c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</x:row>
    <x:row r="100" ht="23" customHeight="1">
      <x:c r="C100" s="2" t="str">
        <x:v>Protein / antibody discovery</x:v>
      </x:c>
      <x:c r="D100" s="38" t="n">
        <x:v>1</x:v>
      </x:c>
      <x:c r="E100" s="36" t="n">
        <x:f>IF(SUM($D$100:$D$102)&gt;0,D100/SUM($D$100:$D$102),0)</x:f>
        <x:v>0.3333333333333333</x:v>
      </x:c>
      <x:c r="F100" s="35" t="str">
        <x:f>IF(COUNT(D43:G48)&lt;&gt;24,"Missing coefficient",IF(AND(MIN(D43:D48)&gt;=0,MAX(D43:D48)&lt;=1,MIN(E43:E48)&gt;=0,MAX(E43:E48)&lt;=1.5,MIN(F43:F48)&gt;=0.1,MAX(F43:F48)&lt;=2,MIN(G43:G48)&gt;=0,MAX(G43:G48)&lt;=1),"Valid","Out-of-range coefficient"))</x:f>
        <x:v>Valid</x:v>
      </x:c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</x:row>
    <x:row r="101" ht="23" customHeight="1">
      <x:c r="C101" s="2" t="str">
        <x:v>Cell-data / perturbation factory</x:v>
      </x:c>
      <x:c r="D101" s="38" t="n">
        <x:v>1</x:v>
      </x:c>
      <x:c r="E101" s="36" t="n">
        <x:f>IF(SUM($D$100:$D$102)&gt;0,D101/SUM($D$100:$D$102),0)</x:f>
        <x:v>0.3333333333333333</x:v>
      </x:c>
      <x:c r="F101" s="35" t="str">
        <x:f>IF(COUNT(D53:G58)&lt;&gt;24,"Missing coefficient",IF(AND(MIN(D53:D58)&gt;=0,MAX(D53:D58)&lt;=1,MIN(E53:E58)&gt;=0,MAX(E53:E58)&lt;=1.5,MIN(F53:F58)&gt;=0.1,MAX(F53:F58)&lt;=2,MIN(G53:G58)&gt;=0,MAX(G53:G58)&lt;=1),"Valid","Out-of-range coefficient"))</x:f>
        <x:v>Valid</x:v>
      </x:c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</x:row>
    <x:row r="102" ht="23" customHeight="1">
      <x:c r="C102" s="2" t="str">
        <x:v>Small-molecule discovery</x:v>
      </x:c>
      <x:c r="D102" s="38" t="n">
        <x:v>1</x:v>
      </x:c>
      <x:c r="E102" s="36" t="n">
        <x:f>IF(SUM($D$100:$D$102)&gt;0,D102/SUM($D$100:$D$102),0)</x:f>
        <x:v>0.3333333333333333</x:v>
      </x:c>
      <x:c r="F102" s="35" t="str">
        <x:f>IF(COUNT(D63:G68)&lt;&gt;24,"Missing coefficient",IF(AND(MIN(D63:D68)&gt;=0,MAX(D63:D68)&lt;=1,MIN(E63:E68)&gt;=0,MAX(E63:E68)&lt;=1.5,MIN(F63:F68)&gt;=0.1,MAX(F63:F68)&lt;=2,MIN(G63:G68)&gt;=0,MAX(G63:G68)&lt;=1),"Valid","Out-of-range coefficient"))</x:f>
        <x:v>Valid</x:v>
      </x:c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</x:row>
    <x:row r="103" ht="23" customHeight="1">
      <x:c r="C103" s="2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</x:row>
    <x:row r="104" ht="23" customHeight="1">
      <x:c r="C104" s="2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</x:row>
    <x:row r="105" ht="23" customHeight="1">
      <x:c r="C105" s="2" t="str">
        <x:v>Workflow mix status</x:v>
      </x:c>
      <x:c r="D105" s="35" t="str">
        <x:f>IF(AND(COUNT(D100:D102)=3,MIN(D100:D102)&gt;=0,MAX(D100:D102)&lt;=100,SUM(D100:D102)&gt;0),"Valid","Set positive weights")</x:f>
        <x:v>Valid</x:v>
      </x:c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</x:row>
    <x:row r="106" ht="23" customHeight="1">
      <x:c r="C106" s="2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</x:row>
    <x:row r="107" ht="23" customHeight="1">
      <x:c r="C107" s="2" t="str">
        <x:v>Total allocates the same pool and the same reference cohort. It does not triple the funding.</x:v>
      </x:c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</x:row>
    <x:row r="108" ht="23" customHeight="1">
      <x:c r="C108" s="2" t="str">
        <x:v>Within each family, AI purchase weights equal normalized mix times assumed AI exposure.</x:v>
      </x:c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</x:row>
    <x:row r="109" ht="23" customHeight="1">
      <x:c r="C109" s="2" t="str">
        <x:v>Total is calculated after individual workflow responses. Multipliers and exponents are not added.</x:v>
      </x:c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</x:row>
    <x:row r="110" ht="23" customHeight="1">
      <x:c r="C110" s="2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</x:row>
    <x:row r="111" ht="23" customHeight="1">
      <x:c r="C111" s="2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</x:row>
    <x:row r="112" ht="23" customHeight="1">
      <x:c r="C112" s="2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</x:row>
  </x:sheetData>
  <x:conditionalFormatting sqref="D28:D28">
    <x:cfRule type="cellIs" dxfId="0" priority="1" operator="notEqual">
      <x:formula>"Valid"</x:formula>
    </x:cfRule>
  </x:conditionalFormatting>
  <x:conditionalFormatting sqref="D39:D39">
    <x:cfRule type="cellIs" dxfId="1" priority="2" operator="notEqual">
      <x:formula>"Valid"</x:formula>
    </x:cfRule>
  </x:conditionalFormatting>
  <x:dataValidations count="30">
    <x:dataValidation type="whole" operator="between" sqref="D5">
      <x:formula1>1</x:formula1>
      <x:formula2>4</x:formula2>
    </x:dataValidation>
    <x:dataValidation type="decimal" operator="between" sqref="D10">
      <x:formula1>0</x:formula1>
      <x:formula2>200</x:formula2>
    </x:dataValidation>
    <x:dataValidation type="whole" operator="between" sqref="D11">
      <x:formula1>2</x:formula1>
      <x:formula2>5</x:formula2>
    </x:dataValidation>
    <x:dataValidation type="decimal" operator="between" sqref="D12">
      <x:formula1>0</x:formula1>
      <x:formula2>1</x:formula2>
    </x:dataValidation>
    <x:dataValidation type="decimal" operator="between" sqref="D13">
      <x:formula1>0</x:formula1>
      <x:formula2>1</x:formula2>
    </x:dataValidation>
    <x:dataValidation type="decimal" operator="between" sqref="D14">
      <x:formula1>0</x:formula1>
      <x:formula2>1</x:formula2>
    </x:dataValidation>
    <x:dataValidation type="decimal" operator="between" sqref="D15">
      <x:formula1>0.1</x:formula1>
      <x:formula2>20</x:formula2>
    </x:dataValidation>
    <x:dataValidation type="decimal" operator="between" sqref="D16">
      <x:formula1>0.1</x:formula1>
      <x:formula2>20</x:formula2>
    </x:dataValidation>
    <x:dataValidation type="decimal" operator="between" sqref="D17">
      <x:formula1>0.05</x:formula1>
      <x:formula2>10</x:formula2>
    </x:dataValidation>
    <x:dataValidation type="decimal" operator="between" sqref="D18">
      <x:formula1>0.05</x:formula1>
      <x:formula2>10</x:formula2>
    </x:dataValidation>
    <x:dataValidation type="decimal" operator="between" sqref="D19">
      <x:formula1>0</x:formula1>
      <x:formula2>1</x:formula2>
    </x:dataValidation>
    <x:dataValidation type="decimal" operator="between" sqref="D20">
      <x:formula1>0.5</x:formula1>
      <x:formula2>3</x:formula2>
    </x:dataValidation>
    <x:dataValidation type="decimal" operator="between" sqref="D21">
      <x:formula1>0</x:formula1>
      <x:formula2>5</x:formula2>
    </x:dataValidation>
    <x:dataValidation type="decimal" operator="between" sqref="D22">
      <x:formula1>0</x:formula1>
      <x:formula2>1</x:formula2>
    </x:dataValidation>
    <x:dataValidation type="decimal" operator="between" sqref="D23">
      <x:formula1>0</x:formula1>
      <x:formula2>1</x:formula2>
    </x:dataValidation>
    <x:dataValidation type="decimal" operator="between" sqref="D43:D48">
      <x:formula1>0</x:formula1>
      <x:formula2>1</x:formula2>
    </x:dataValidation>
    <x:dataValidation type="decimal" operator="between" sqref="E43:E48">
      <x:formula1>0</x:formula1>
      <x:formula2>1.5</x:formula2>
    </x:dataValidation>
    <x:dataValidation type="decimal" operator="between" sqref="F43:F48">
      <x:formula1>0.1</x:formula1>
      <x:formula2>2</x:formula2>
    </x:dataValidation>
    <x:dataValidation type="decimal" operator="between" sqref="G43:G48">
      <x:formula1>0</x:formula1>
      <x:formula2>1</x:formula2>
    </x:dataValidation>
    <x:dataValidation type="decimal" operator="between" sqref="D53:D58">
      <x:formula1>0</x:formula1>
      <x:formula2>1</x:formula2>
    </x:dataValidation>
    <x:dataValidation type="decimal" operator="between" sqref="E53:E58">
      <x:formula1>0</x:formula1>
      <x:formula2>1.5</x:formula2>
    </x:dataValidation>
    <x:dataValidation type="decimal" operator="between" sqref="F53:F58">
      <x:formula1>0.1</x:formula1>
      <x:formula2>2</x:formula2>
    </x:dataValidation>
    <x:dataValidation type="decimal" operator="between" sqref="G53:G58">
      <x:formula1>0</x:formula1>
      <x:formula2>1</x:formula2>
    </x:dataValidation>
    <x:dataValidation type="decimal" operator="between" sqref="D63:D68">
      <x:formula1>0</x:formula1>
      <x:formula2>1</x:formula2>
    </x:dataValidation>
    <x:dataValidation type="decimal" operator="between" sqref="E63:E68">
      <x:formula1>0</x:formula1>
      <x:formula2>1.5</x:formula2>
    </x:dataValidation>
    <x:dataValidation type="decimal" operator="between" sqref="F63:F68">
      <x:formula1>0.1</x:formula1>
      <x:formula2>2</x:formula2>
    </x:dataValidation>
    <x:dataValidation type="decimal" operator="between" sqref="G63:G68">
      <x:formula1>0</x:formula1>
      <x:formula2>1</x:formula2>
    </x:dataValidation>
    <x:dataValidation type="decimal" operator="between" sqref="D100">
      <x:formula1>0</x:formula1>
      <x:formula2>100</x:formula2>
    </x:dataValidation>
    <x:dataValidation type="decimal" operator="between" sqref="D101">
      <x:formula1>0</x:formula1>
      <x:formula2>100</x:formula2>
    </x:dataValidation>
    <x:dataValidation type="decimal" operator="between" sqref="D102">
      <x:formula1>0</x:formula1>
      <x:formula2>100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1" hidden="0" customWidth="1"/>
    <x:col min="17" max="17" width="11" hidden="0" customWidth="1"/>
  </x:cols>
  <x:sheetData>
    <x:row r="2" ht="23" customHeight="1">
      <x:c r="C2" s="71" t="str">
        <x:v>Funding and tool-demand calculations</x:v>
      </x:c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</x:row>
    <x:row r="3" ht="23" customHeight="1">
      <x:c r="C3" s="73" t="str">
        <x:v>US$bn and US$bn/year. Multiples are relative to the same illustrative 1x cohort.</x:v>
      </x:c>
      <x:c r="D3" s="73"/>
      <x:c r="E3" s="73"/>
      <x:c r="F3" s="73"/>
      <x:c r="G3" s="73"/>
      <x:c r="H3" s="73"/>
      <x:c r="I3" s="72"/>
      <x:c r="J3" s="72"/>
      <x:c r="K3" s="72"/>
      <x:c r="L3" s="72"/>
      <x:c r="M3" s="72"/>
      <x:c r="N3" s="72"/>
      <x:c r="O3" s="72"/>
      <x:c r="P3" s="72"/>
      <x:c r="Q3" s="72"/>
    </x:row>
    <x:row r="4" ht="23" customHeight="1">
      <x:c r="C4" s="74" t="str">
        <x:v>Workflow</x:v>
      </x:c>
      <x:c r="D4" s="78" t="str">
        <x:f>'Inputs'!E5</x:f>
        <x:v>Total - all workflows</x:v>
      </x:c>
      <x:c r="E4" s="74"/>
      <x:c r="F4" s="74"/>
      <x:c r="G4" s="74"/>
      <x:c r="H4" s="74"/>
      <x:c r="I4" s="72"/>
      <x:c r="J4" s="72"/>
      <x:c r="K4" s="72"/>
      <x:c r="L4" s="72"/>
      <x:c r="M4" s="72"/>
      <x:c r="N4" s="72"/>
      <x:c r="O4" s="72"/>
      <x:c r="P4" s="72"/>
      <x:c r="Q4" s="72"/>
    </x:row>
    <x:row r="5" ht="23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5" customHeight="1">
      <x:c r="C6" s="33" t="str">
        <x:v>Funding stock and annual flows</x:v>
      </x:c>
      <x:c r="D6" s="34"/>
      <x:c r="E6" s="34"/>
      <x:c r="F6" s="34"/>
      <x:c r="G6" s="34"/>
      <x:c r="H6" s="34"/>
      <x:c r="I6" s="4"/>
      <x:c r="J6" s="4"/>
      <x:c r="K6" s="4"/>
      <x:c r="L6" s="4"/>
      <x:c r="M6" s="4"/>
      <x:c r="N6" s="4"/>
      <x:c r="O6" s="4"/>
      <x:c r="P6" s="4"/>
      <x:c r="Q6" s="4"/>
    </x:row>
    <x:row r="7" ht="32" customHeight="1">
      <x:c r="C7" s="18" t="str">
        <x:v>Metric</x:v>
      </x:c>
      <x:c r="D7" s="19" t="str">
        <x:v>Value</x:v>
      </x:c>
      <x:c r="E7" s="19" t="str">
        <x:v>Units</x:v>
      </x:c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 ht="23" customHeight="1">
      <x:c r="C8" s="2" t="str">
        <x:v>Total program funding</x:v>
      </x:c>
      <x:c r="D8" s="28" t="n">
        <x:f>'Inputs'!D10</x:f>
        <x:v>50</x:v>
      </x:c>
      <x:c r="E8" s="4" t="str">
        <x:v>US$bn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</x:row>
    <x:row r="9" ht="23" customHeight="1">
      <x:c r="C9" s="2" t="str">
        <x:v>Deployment years</x:v>
      </x:c>
      <x:c r="D9" s="28" t="n">
        <x:f>'Inputs'!D11</x:f>
        <x:v>5</x:v>
      </x:c>
      <x:c r="E9" s="4" t="str">
        <x:v>years</x:v>
      </x:c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3" customHeight="1">
      <x:c r="C10" s="2" t="str">
        <x:v>Annual program funding</x:v>
      </x:c>
      <x:c r="D10" s="28" t="n">
        <x:f>IF('Inputs'!$D$28="Valid",D8/D9,NA())</x:f>
        <x:v>10</x:v>
      </x:c>
      <x:c r="E10" s="4" t="str">
        <x:v>US$bn/year</x:v>
      </x:c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3" customHeight="1">
      <x:c r="C11" s="2" t="str">
        <x:v>Wet-lab share</x:v>
      </x:c>
      <x:c r="D11" s="79" t="n">
        <x:f>'Inputs'!D12</x:f>
        <x:v>0.35</x:v>
      </x:c>
      <x:c r="E11" s="4" t="str">
        <x:v>fraction</x:v>
      </x:c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3" customHeight="1">
      <x:c r="C12" s="2" t="str">
        <x:v>Equipment share within wet lab</x:v>
      </x:c>
      <x:c r="D12" s="79" t="n">
        <x:f>'Inputs'!D13</x:f>
        <x:v>0.45</x:v>
      </x:c>
      <x:c r="E12" s="4" t="str">
        <x:v>fraction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3" customHeight="1">
      <x:c r="C13" s="2" t="str">
        <x:v>Test share</x:v>
      </x:c>
      <x:c r="D13" s="79" t="n">
        <x:f>'Inputs'!D14</x:f>
        <x:v>0.65</x:v>
      </x:c>
      <x:c r="E13" s="4" t="str">
        <x:v>fraction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3" customHeight="1">
      <x:c r="C14" s="2" t="str">
        <x:v>Annual wet-lab funding</x:v>
      </x:c>
      <x:c r="D14" s="35" t="n">
        <x:f>D10*D11</x:f>
        <x:v>3.5</x:v>
      </x:c>
      <x:c r="E14" s="4" t="str">
        <x:v>US$bn/year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3" customHeight="1">
      <x:c r="C15" s="2" t="str">
        <x:v>Annual equipment funding</x:v>
      </x:c>
      <x:c r="D15" s="35" t="n">
        <x:f>D14*D12</x:f>
        <x:v>1.575</x:v>
      </x:c>
      <x:c r="E15" s="4" t="str">
        <x:v>US$bn/year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3" customHeight="1">
      <x:c r="C16" s="2" t="str">
        <x:v>Annual lab execution funding</x:v>
      </x:c>
      <x:c r="D16" s="35" t="n">
        <x:f>D14*(1-D12)</x:f>
        <x:v>1.9250000000000003</x:v>
      </x:c>
      <x:c r="E16" s="4" t="str">
        <x:v>US$bn/year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3" customHeight="1">
      <x:c r="C17" s="2" t="str">
        <x:v>Other annual program uses</x:v>
      </x:c>
      <x:c r="D17" s="35" t="n">
        <x:f>D10-D14</x:f>
        <x:v>6.5</x:v>
      </x:c>
      <x:c r="E17" s="4" t="str">
        <x:v>US$bn/year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3" customHeight="1">
      <x:c r="C18" s="2" t="str">
        <x:v>Cumulative equipment funding</x:v>
      </x:c>
      <x:c r="D18" s="35" t="n">
        <x:f>D15*D9</x:f>
        <x:v>7.875</x:v>
      </x:c>
      <x:c r="E18" s="4" t="str">
        <x:v>US$bn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3" customHeight="1">
      <x:c r="C19" s="2" t="str">
        <x:v>Commissioning lag</x:v>
      </x:c>
      <x:c r="D19" s="28" t="n">
        <x:f>'Inputs'!D21</x:f>
        <x:v>0</x:v>
      </x:c>
      <x:c r="E19" s="4" t="str">
        <x:v>years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3" customHeight="1">
      <x:c r="C20" s="2" t="str">
        <x:v>Productive commissioning fraction</x:v>
      </x:c>
      <x:c r="D20" s="80" t="n">
        <x:f>MAX(0,1-D19/D9)</x:f>
        <x:v>1</x:v>
      </x:c>
      <x:c r="E20" s="4" t="str">
        <x:v>fraction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3" customHeight="1">
      <x:c r="C21" s="2" t="str">
        <x:v>Commissioned equipment stock</x:v>
      </x:c>
      <x:c r="D21" s="35" t="n">
        <x:f>D18*D20</x:f>
        <x:v>7.875</x:v>
      </x:c>
      <x:c r="E21" s="4" t="str">
        <x:v>US$bn</x:v>
      </x:c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3" customHeight="1">
      <x:c r="C22" s="2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3" customHeight="1">
      <x:c r="C23" s="2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5" customHeight="1">
      <x:c r="C24" s="33" t="str">
        <x:v>Build and Test constraints</x:v>
      </x:c>
      <x:c r="D24" s="34"/>
      <x:c r="E24" s="34"/>
      <x:c r="F24" s="34"/>
      <x:c r="G24" s="34"/>
      <x:c r="H24" s="3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32" customHeight="1">
      <x:c r="C25" s="18" t="str">
        <x:v>Metric</x:v>
      </x:c>
      <x:c r="D25" s="19" t="str">
        <x:v>Build</x:v>
      </x:c>
      <x:c r="E25" s="19" t="str">
        <x:v>Test</x:v>
      </x:c>
      <x:c r="F25" s="19" t="str">
        <x:v>Units</x:v>
      </x:c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3" customHeight="1">
      <x:c r="C26" s="2" t="str">
        <x:v>Stage allocation</x:v>
      </x:c>
      <x:c r="D26" s="80" t="n">
        <x:f>1-$D$13</x:f>
        <x:v>0.35</x:v>
      </x:c>
      <x:c r="E26" s="80" t="n">
        <x:f>$D$13</x:f>
        <x:v>0.65</x:v>
      </x:c>
      <x:c r="F26" s="4" t="str">
        <x:v>fraction</x:v>
      </x:c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3" customHeight="1">
      <x:c r="C27" s="2" t="str">
        <x:v>Reference equipment stock</x:v>
      </x:c>
      <x:c r="D27" s="28" t="n">
        <x:f>'Inputs'!D15</x:f>
        <x:v>1.5</x:v>
      </x:c>
      <x:c r="E27" s="28" t="n">
        <x:f>'Inputs'!D16</x:f>
        <x:v>2.5</x:v>
      </x:c>
      <x:c r="F27" s="4" t="str">
        <x:v>US$bn</x:v>
      </x:c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3" customHeight="1">
      <x:c r="C28" s="2" t="str">
        <x:v>Reference annual lab costs</x:v>
      </x:c>
      <x:c r="D28" s="28" t="n">
        <x:f>'Inputs'!D17</x:f>
        <x:v>0.35</x:v>
      </x:c>
      <x:c r="E28" s="28" t="n">
        <x:f>'Inputs'!D18</x:f>
        <x:v>0.55</x:v>
      </x:c>
      <x:c r="F28" s="4" t="str">
        <x:v>US$bn/year</x:v>
      </x:c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3" customHeight="1">
      <x:c r="C29" s="2" t="str">
        <x:v>Allocated commissioned equipment</x:v>
      </x:c>
      <x:c r="D29" s="35" t="n">
        <x:f>$D$21*D26</x:f>
        <x:v>2.7562499999999996</x:v>
      </x:c>
      <x:c r="E29" s="35" t="n">
        <x:f>$D$21*E26</x:f>
        <x:v>5.11875</x:v>
      </x:c>
      <x:c r="F29" s="4" t="str">
        <x:v>US$bn</x:v>
      </x:c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3" customHeight="1">
      <x:c r="C30" s="2" t="str">
        <x:v>Allocated annual lab execution</x:v>
      </x:c>
      <x:c r="D30" s="35" t="n">
        <x:f>$D$16*D26</x:f>
        <x:v>0.6737500000000001</x:v>
      </x:c>
      <x:c r="E30" s="35" t="n">
        <x:f>$D$16*E26</x:f>
        <x:v>1.2512500000000002</x:v>
      </x:c>
      <x:c r="F30" s="4" t="str">
        <x:v>US$bn/year</x:v>
      </x:c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3" customHeight="1">
      <x:c r="C31" s="2" t="str">
        <x:v>Equipment-supported increment</x:v>
      </x:c>
      <x:c r="D31" s="43" t="n">
        <x:f>D29/D27</x:f>
        <x:v>1.8374999999999997</x:v>
      </x:c>
      <x:c r="E31" s="43" t="n">
        <x:f>E29/E27</x:f>
        <x:v>2.0475000000000003</x:v>
      </x:c>
      <x:c r="F31" s="4" t="str">
        <x:v>multiple</x:v>
      </x:c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3" customHeight="1">
      <x:c r="C32" s="2" t="str">
        <x:v>Running-funded increment</x:v>
      </x:c>
      <x:c r="D32" s="43" t="n">
        <x:f>D30/D28</x:f>
        <x:v>1.9250000000000003</x:v>
      </x:c>
      <x:c r="E32" s="43" t="n">
        <x:f>E30/E28</x:f>
        <x:v>2.2750000000000004</x:v>
      </x:c>
      <x:c r="F32" s="4" t="str">
        <x:v>multiple</x:v>
      </x:c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3" customHeight="1">
      <x:c r="C33" s="2" t="str">
        <x:v>Raw funded support</x:v>
      </x:c>
      <x:c r="D33" s="44" t="n">
        <x:f>IF('Inputs'!$D$28="Valid",1+'Inputs'!$D$19*'Inputs'!$D$20*MIN(D31,D32),NA())</x:f>
        <x:v>2.5618749999999997</x:v>
      </x:c>
      <x:c r="E33" s="44" t="n">
        <x:f>IF('Inputs'!$D$28="Valid",1+'Inputs'!$D$19*'Inputs'!$D$20*MIN(E31,E32),NA())</x:f>
        <x:v>2.7403750000000002</x:v>
      </x:c>
      <x:c r="F33" s="4" t="str">
        <x:v>multiple</x:v>
      </x:c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3" customHeight="1">
      <x:c r="C34" s="2" t="str">
        <x:v>Funded support, capped</x:v>
      </x:c>
      <x:c r="D34" s="46" t="n">
        <x:f>MIN('Inputs'!$D$25,D33)</x:f>
        <x:v>2.5618749999999997</x:v>
      </x:c>
      <x:c r="E34" s="46" t="n">
        <x:f>MIN('Inputs'!$D$25,E33)</x:f>
        <x:v>2.7403750000000002</x:v>
      </x:c>
      <x:c r="F34" s="4" t="str">
        <x:v>multiple</x:v>
      </x:c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42" customHeight="1">
      <x:c r="C35" s="2" t="str">
        <x:v>Binding constraint</x:v>
      </x:c>
      <x:c r="D35" s="47" t="str">
        <x:f>IF('Inputs'!$D$19=0,"Rollout realization",IF(D31&lt;=D32,"Equipment capacity","Annual lab execution funding"))</x:f>
        <x:v>Equipment capacity</x:v>
      </x:c>
      <x:c r="E35" s="47" t="str">
        <x:f>IF('Inputs'!$D$19=0,"Rollout realization",IF(E31&lt;=E32,"Equipment capacity","Annual lab execution funding"))</x:f>
        <x:v>Equipment capacity</x:v>
      </x:c>
      <x:c r="F35" s="4" t="str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3" customHeight="1">
      <x:c r="C36" s="2" t="str">
        <x:v>Desired target envelope</x:v>
      </x:c>
      <x:c r="D36" s="44" t="n">
        <x:f>MIN('Inputs'!$D$25,MAX('Inputs'!$D$24,D33))</x:f>
        <x:v>2.5618749999999997</x:v>
      </x:c>
      <x:c r="E36" s="44" t="n">
        <x:f>MIN('Inputs'!$D$25,MAX('Inputs'!$D$24,E33))</x:f>
        <x:v>2.7403750000000002</x:v>
      </x:c>
      <x:c r="F36" s="4" t="str">
        <x:v>multiple</x:v>
      </x:c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3" customHeight="1">
      <x:c r="C37" s="2" t="str">
        <x:v>Shortfall to target</x:v>
      </x:c>
      <x:c r="D37" s="43" t="n">
        <x:f>MAX(0,D36-D34)</x:f>
        <x:v>0</x:v>
      </x:c>
      <x:c r="E37" s="43" t="n">
        <x:f>MAX(0,E36-E34)</x:f>
        <x:v>0</x:v>
      </x:c>
      <x:c r="F37" s="4" t="str">
        <x:v>multiple</x:v>
      </x:c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3" customHeight="1">
      <x:c r="C38" s="2" t="str">
        <x:v>Cohort-ceiling status</x:v>
      </x:c>
      <x:c r="D38" s="28" t="str">
        <x:f>IF(D33&gt;'Inputs'!$D$25,"Above ceiling","Within ceiling")</x:f>
        <x:v>Within ceiling</x:v>
      </x:c>
      <x:c r="E38" s="28" t="str">
        <x:f>IF(E33&gt;'Inputs'!$D$25,"Above ceiling","Within ceiling")</x:f>
        <x:v>Within ceiling</x:v>
      </x:c>
      <x:c r="F38" s="4" t="str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3" customHeight="1">
      <x:c r="C39" s="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3" customHeight="1">
      <x:c r="C40" s="2" t="str">
        <x:v>The 2x floor is a target. Raw capacity remains visible above the 10x cohort ceiling.</x:v>
      </x:c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3" customHeight="1">
      <x:c r="C41" s="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3" customHeight="1">
      <x:c r="C42" s="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5" customHeight="1">
      <x:c r="C43" s="33" t="str">
        <x:v>Family purchasing responses</x:v>
      </x:c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  <x:c r="N43" s="34"/>
      <x:c r="O43" s="34"/>
      <x:c r="P43" s="4"/>
      <x:c r="Q43" s="4"/>
    </x:row>
    <x:row r="44" ht="32" customHeight="1">
      <x:c r="C44" s="18" t="str">
        <x:v>Family</x:v>
      </x:c>
      <x:c r="D44" s="19" t="str">
        <x:v>Build weight</x:v>
      </x:c>
      <x:c r="E44" s="19" t="str">
        <x:v>Exponent</x:v>
      </x:c>
      <x:c r="F44" s="19" t="str">
        <x:v>Price factor</x:v>
      </x:c>
      <x:c r="G44" s="19" t="str">
        <x:v>AI exposure</x:v>
      </x:c>
      <x:c r="H44" s="19" t="str">
        <x:v>Activity</x:v>
      </x:c>
      <x:c r="I44" s="19" t="str">
        <x:v>Raw increment</x:v>
      </x:c>
      <x:c r="J44" s="19" t="str">
        <x:v>Lab increment</x:v>
      </x:c>
      <x:c r="K44" s="19" t="str">
        <x:v>Mfg increment</x:v>
      </x:c>
      <x:c r="L44" s="19" t="str">
        <x:v>AI cohort</x:v>
      </x:c>
      <x:c r="M44" s="19" t="str">
        <x:v>Whole family</x:v>
      </x:c>
      <x:c r="N44" s="19" t="str">
        <x:v>Cohort rank</x:v>
      </x:c>
      <x:c r="O44" s="19" t="str">
        <x:v>Whole rank</x:v>
      </x:c>
      <x:c r="P44" s="4"/>
      <x:c r="Q44" s="4"/>
    </x:row>
    <x:row r="45" ht="23" customHeight="1">
      <x:c r="C45" s="2" t="str">
        <x:v>Molecular construction</x:v>
      </x:c>
      <x:c r="D45" s="42" t="n">
        <x:f>'Inputs'!D32</x:f>
        <x:v>0.9166666666666667</x:v>
      </x:c>
      <x:c r="E45" s="28" t="n">
        <x:f>'Inputs'!E32</x:f>
        <x:v>0.7666666666666666</x:v>
      </x:c>
      <x:c r="F45" s="28" t="n">
        <x:f>'Inputs'!F32</x:f>
        <x:v>1</x:v>
      </x:c>
      <x:c r="G45" s="42" t="n">
        <x:f>'Inputs'!G32</x:f>
        <x:v>0.11999999999999998</x:v>
      </x:c>
      <x:c r="H45" s="44" t="n">
        <x:f>IF('Inputs'!$D$5=4,IF(G45&gt;0,(P102*J102+P108*J108+P114*J114)/G45,0),D45*$D$34+(1-D45)*$E$34)</x:f>
        <x:v>2.5767499999999997</x:v>
      </x:c>
      <x:c r="I45" s="28" t="n">
        <x:f>IF('Inputs'!$D$5=4,IF(G45&gt;0,(P102*K102+P108*K108+P114*K114)/G45,0),H45^E45-1)</x:f>
        <x:v>1.0807822709371044</x:v>
      </x:c>
      <x:c r="J45" s="28" t="n">
        <x:f>IF('Inputs'!$D$5=4,IF(G45&gt;0,(P102*L102+P108*L108+P114*L114)/G45,0),I45)</x:f>
        <x:v>1.0807822709371044</x:v>
      </x:c>
      <x:c r="K45" s="28" t="n">
        <x:f>IF('Inputs'!$D$5=4,IF(G45&gt;0,(P102*M102+P108*M108+P114*M114)/G45,0),0)</x:f>
        <x:v>0</x:v>
      </x:c>
      <x:c r="L45" s="44" t="n">
        <x:f>IF('Inputs'!$D$39="Valid",IF('Inputs'!$D$5=4,IF(G45&gt;0,SUM(Q102,Q108,Q114)/G45,"n.a."),1+SUM(J45:K45)*F45),NA())</x:f>
        <x:v>2.0807822709371044</x:v>
      </x:c>
      <x:c r="M45" s="44" t="n">
        <x:f>IF('Inputs'!$D$39="Valid",IF('Inputs'!$D$5=4,1+SUM(R102,R108,R114),1+G45*(L45-1)),NA())</x:f>
        <x:v>1.1296938725124526</x:v>
      </x:c>
      <x:c r="N45" s="48" t="n">
        <x:f>IF(ISNUMBER(L45),1+COUNTIFS($L$45:$L$50,"&gt;"&amp;L45),"n.a.")</x:f>
        <x:v>4</x:v>
      </x:c>
      <x:c r="O45" s="48" t="n">
        <x:f>1+COUNTIFS($M$45:$M$50,"&gt;"&amp;M45)</x:f>
        <x:v>4</x:v>
      </x:c>
      <x:c r="P45" s="4"/>
      <x:c r="Q45" s="4"/>
    </x:row>
    <x:row r="46" ht="23" customHeight="1">
      <x:c r="C46" s="2" t="str">
        <x:v>Protein &amp; functional assays</x:v>
      </x:c>
      <x:c r="D46" s="42" t="n">
        <x:f>'Inputs'!D33</x:f>
        <x:v>0.11</x:v>
      </x:c>
      <x:c r="E46" s="28" t="n">
        <x:f>'Inputs'!E33</x:f>
        <x:v>0.7599999999999999</x:v>
      </x:c>
      <x:c r="F46" s="28" t="n">
        <x:f>'Inputs'!F33</x:f>
        <x:v>1</x:v>
      </x:c>
      <x:c r="G46" s="42" t="n">
        <x:f>'Inputs'!G33</x:f>
        <x:v>0.13333333333333333</x:v>
      </x:c>
      <x:c r="H46" s="44" t="n">
        <x:f>IF('Inputs'!$D$5=4,IF(G46&gt;0,(P103*J103+P109*J109+P115*J115)/G46,0),D46*$D$34+(1-D46)*$E$34)</x:f>
        <x:v>2.7207399999999997</x:v>
      </x:c>
      <x:c r="I46" s="28" t="n">
        <x:f>IF('Inputs'!$D$5=4,IF(G46&gt;0,(P103*K103+P109*K109+P115*K115)/G46,0),H46^E46-1)</x:f>
        <x:v>1.1810922121687726</x:v>
      </x:c>
      <x:c r="J46" s="28" t="n">
        <x:f>IF('Inputs'!$D$5=4,IF(G46&gt;0,(P103*L103+P109*L109+P115*L115)/G46,0),I46)</x:f>
        <x:v>1.1810922121687726</x:v>
      </x:c>
      <x:c r="K46" s="28" t="n">
        <x:f>IF('Inputs'!$D$5=4,IF(G46&gt;0,(P103*M103+P109*M109+P115*M115)/G46,0),0)</x:f>
        <x:v>0</x:v>
      </x:c>
      <x:c r="L46" s="44" t="n">
        <x:f>IF('Inputs'!$D$39="Valid",IF('Inputs'!$D$5=4,IF(G46&gt;0,SUM(Q103,Q109,Q115)/G46,"n.a."),1+SUM(J46:K46)*F46),NA())</x:f>
        <x:v>2.1810922121687724</x:v>
      </x:c>
      <x:c r="M46" s="44" t="n">
        <x:f>IF('Inputs'!$D$39="Valid",IF('Inputs'!$D$5=4,1+SUM(R103,R109,R115),1+G46*(L46-1)),NA())</x:f>
        <x:v>1.157478961622503</x:v>
      </x:c>
      <x:c r="N46" s="48" t="n">
        <x:f>IF(ISNUMBER(L46),1+COUNTIFS($L$45:$L$50,"&gt;"&amp;L46),"n.a.")</x:f>
        <x:v>3</x:v>
      </x:c>
      <x:c r="O46" s="48" t="n">
        <x:f>1+COUNTIFS($M$45:$M$50,"&gt;"&amp;M46)</x:f>
        <x:v>3</x:v>
      </x:c>
      <x:c r="P46" s="4"/>
      <x:c r="Q46" s="4"/>
    </x:row>
    <x:row r="47" ht="23" customHeight="1">
      <x:c r="C47" s="2" t="str">
        <x:v>Cells &amp; culture systems</x:v>
      </x:c>
      <x:c r="D47" s="42" t="n">
        <x:f>'Inputs'!D34</x:f>
        <x:v>0.06063829787234042</x:v>
      </x:c>
      <x:c r="E47" s="28" t="n">
        <x:f>'Inputs'!E34</x:f>
        <x:v>0.9223404255319148</x:v>
      </x:c>
      <x:c r="F47" s="28" t="n">
        <x:f>'Inputs'!F34</x:f>
        <x:v>1</x:v>
      </x:c>
      <x:c r="G47" s="42" t="n">
        <x:f>'Inputs'!G34</x:f>
        <x:v>0.15666666666666668</x:v>
      </x:c>
      <x:c r="H47" s="44" t="n">
        <x:f>IF('Inputs'!$D$5=4,IF(G47&gt;0,(P104*J104+P110*J110+P116*J116)/G47,0),D47*$D$34+(1-D47)*$E$34)</x:f>
        <x:v>2.729551063829787</x:v>
      </x:c>
      <x:c r="I47" s="28" t="n">
        <x:f>IF('Inputs'!$D$5=4,IF(G47&gt;0,(P104*K104+P110*K110+P116*K116)/G47,0),H47^E47-1)</x:f>
        <x:v>1.5491367917685914</x:v>
      </x:c>
      <x:c r="J47" s="28" t="n">
        <x:f>IF('Inputs'!$D$5=4,IF(G47&gt;0,(P104*L104+P110*L110+P116*L116)/G47,0),I47)</x:f>
        <x:v>1.5491367917685914</x:v>
      </x:c>
      <x:c r="K47" s="28" t="n">
        <x:f>IF('Inputs'!$D$5=4,IF(G47&gt;0,(P104*M104+P110*M110+P116*M116)/G47,0),0)</x:f>
        <x:v>0</x:v>
      </x:c>
      <x:c r="L47" s="44" t="n">
        <x:f>IF('Inputs'!$D$39="Valid",IF('Inputs'!$D$5=4,IF(G47&gt;0,SUM(Q104,Q110,Q116)/G47,"n.a."),1+SUM(J47:K47)*F47),NA())</x:f>
        <x:v>2.5491367917685914</x:v>
      </x:c>
      <x:c r="M47" s="44" t="n">
        <x:f>IF('Inputs'!$D$39="Valid",IF('Inputs'!$D$5=4,1+SUM(R104,R110,R116),1+G47*(L47-1)),NA())</x:f>
        <x:v>1.2426980973770794</x:v>
      </x:c>
      <x:c r="N47" s="48" t="n">
        <x:f>IF(ISNUMBER(L47),1+COUNTIFS($L$45:$L$50,"&gt;"&amp;L47),"n.a.")</x:f>
        <x:v>1</x:v>
      </x:c>
      <x:c r="O47" s="48" t="n">
        <x:f>1+COUNTIFS($M$45:$M$50,"&gt;"&amp;M47)</x:f>
        <x:v>1</x:v>
      </x:c>
      <x:c r="P47" s="4"/>
      <x:c r="Q47" s="4"/>
    </x:row>
    <x:row r="48" ht="23" customHeight="1">
      <x:c r="C48" s="2" t="str">
        <x:v>Labware &amp; sample handling</x:v>
      </x:c>
      <x:c r="D48" s="42" t="n">
        <x:f>'Inputs'!D35</x:f>
        <x:v>0.27142857142857146</x:v>
      </x:c>
      <x:c r="E48" s="28" t="n">
        <x:f>'Inputs'!E35</x:f>
        <x:v>0.3928571428571429</x:v>
      </x:c>
      <x:c r="F48" s="28" t="n">
        <x:f>'Inputs'!F35</x:f>
        <x:v>1</x:v>
      </x:c>
      <x:c r="G48" s="42" t="n">
        <x:f>'Inputs'!G35</x:f>
        <x:v>0.09333333333333332</x:v>
      </x:c>
      <x:c r="H48" s="44" t="n">
        <x:f>IF('Inputs'!$D$5=4,IF(G48&gt;0,(P105*J105+P111*J111+P117*J117)/G48,0),D48*$D$34+(1-D48)*$E$34)</x:f>
        <x:v>2.691925</x:v>
      </x:c>
      <x:c r="I48" s="28" t="n">
        <x:f>IF('Inputs'!$D$5=4,IF(G48&gt;0,(P105*K105+P111*K111+P117*K117)/G48,0),H48^E48-1)</x:f>
        <x:v>0.4786386784945421</x:v>
      </x:c>
      <x:c r="J48" s="28" t="n">
        <x:f>IF('Inputs'!$D$5=4,IF(G48&gt;0,(P105*L105+P111*L111+P117*L117)/G48,0),I48)</x:f>
        <x:v>0.4786386784945421</x:v>
      </x:c>
      <x:c r="K48" s="28" t="n">
        <x:f>IF('Inputs'!$D$5=4,IF(G48&gt;0,(P105*M105+P111*M111+P117*M117)/G48,0),0)</x:f>
        <x:v>0</x:v>
      </x:c>
      <x:c r="L48" s="44" t="n">
        <x:f>IF('Inputs'!$D$39="Valid",IF('Inputs'!$D$5=4,IF(G48&gt;0,SUM(Q105,Q111,Q117)/G48,"n.a."),1+SUM(J48:K48)*F48),NA())</x:f>
        <x:v>1.4786386784945422</x:v>
      </x:c>
      <x:c r="M48" s="44" t="n">
        <x:f>IF('Inputs'!$D$39="Valid",IF('Inputs'!$D$5=4,1+SUM(R105,R111,R117),1+G48*(L48-1)),NA())</x:f>
        <x:v>1.0446729433261572</x:v>
      </x:c>
      <x:c r="N48" s="48" t="n">
        <x:f>IF(ISNUMBER(L48),1+COUNTIFS($L$45:$L$50,"&gt;"&amp;L48),"n.a.")</x:f>
        <x:v>5</x:v>
      </x:c>
      <x:c r="O48" s="48" t="n">
        <x:f>1+COUNTIFS($M$45:$M$50,"&gt;"&amp;M48)</x:f>
        <x:v>5</x:v>
      </x:c>
      <x:c r="P48" s="4"/>
      <x:c r="Q48" s="4"/>
    </x:row>
    <x:row r="49" ht="23" customHeight="1">
      <x:c r="C49" s="2" t="str">
        <x:v>Measurement &amp; analytics</x:v>
      </x:c>
      <x:c r="D49" s="42" t="n">
        <x:f>'Inputs'!D36</x:f>
        <x:v>0.049999999999999996</x:v>
      </x:c>
      <x:c r="E49" s="28" t="n">
        <x:f>'Inputs'!E36</x:f>
        <x:v>0.8636363636363635</x:v>
      </x:c>
      <x:c r="F49" s="28" t="n">
        <x:f>'Inputs'!F36</x:f>
        <x:v>1</x:v>
      </x:c>
      <x:c r="G49" s="42" t="n">
        <x:f>'Inputs'!G36</x:f>
        <x:v>0.14666666666666667</x:v>
      </x:c>
      <x:c r="H49" s="44" t="n">
        <x:f>IF('Inputs'!$D$5=4,IF(G49&gt;0,(P106*J106+P112*J112+P118*J118)/G49,0),D49*$D$34+(1-D49)*$E$34)</x:f>
        <x:v>2.73145</x:v>
      </x:c>
      <x:c r="I49" s="28" t="n">
        <x:f>IF('Inputs'!$D$5=4,IF(G49&gt;0,(P106*K106+P112*K112+P118*K118)/G49,0),H49^E49-1)</x:f>
        <x:v>1.4027921230356712</x:v>
      </x:c>
      <x:c r="J49" s="28" t="n">
        <x:f>IF('Inputs'!$D$5=4,IF(G49&gt;0,(P106*L106+P112*L112+P118*L118)/G49,0),I49)</x:f>
        <x:v>1.4027921230356712</x:v>
      </x:c>
      <x:c r="K49" s="28" t="n">
        <x:f>IF('Inputs'!$D$5=4,IF(G49&gt;0,(P106*M106+P112*M112+P118*M118)/G49,0),0)</x:f>
        <x:v>0</x:v>
      </x:c>
      <x:c r="L49" s="44" t="n">
        <x:f>IF('Inputs'!$D$39="Valid",IF('Inputs'!$D$5=4,IF(G49&gt;0,SUM(Q106,Q112,Q118)/G49,"n.a."),1+SUM(J49:K49)*F49),NA())</x:f>
        <x:v>2.402792123035671</x:v>
      </x:c>
      <x:c r="M49" s="44" t="n">
        <x:f>IF('Inputs'!$D$39="Valid",IF('Inputs'!$D$5=4,1+SUM(R106,R112,R118),1+G49*(L49-1)),NA())</x:f>
        <x:v>1.2057428447118985</x:v>
      </x:c>
      <x:c r="N49" s="48" t="n">
        <x:f>IF(ISNUMBER(L49),1+COUNTIFS($L$45:$L$50,"&gt;"&amp;L49),"n.a.")</x:f>
        <x:v>2</x:v>
      </x:c>
      <x:c r="O49" s="48" t="n">
        <x:f>1+COUNTIFS($M$45:$M$50,"&gt;"&amp;M49)</x:f>
        <x:v>2</x:v>
      </x:c>
      <x:c r="P49" s="4"/>
      <x:c r="Q49" s="4"/>
    </x:row>
    <x:row r="50" ht="23" customHeight="1">
      <x:c r="C50" s="2" t="str">
        <x:v>Purification &amp; scale-up</x:v>
      </x:c>
      <x:c r="D50" s="42" t="n">
        <x:f>'Inputs'!D37</x:f>
        <x:v>0.58125</x:v>
      </x:c>
      <x:c r="E50" s="28" t="n">
        <x:f>'Inputs'!E37</x:f>
        <x:v>0.41250000000000003</x:v>
      </x:c>
      <x:c r="F50" s="28" t="n">
        <x:f>'Inputs'!F37</x:f>
        <x:v>1</x:v>
      </x:c>
      <x:c r="G50" s="42" t="n">
        <x:f>'Inputs'!G37</x:f>
        <x:v>0.05333333333333332</x:v>
      </x:c>
      <x:c r="H50" s="44" t="n">
        <x:f>IF('Inputs'!$D$5=4,IF(G50&gt;0,(P107*J107+P113*J113+P119*J119)/G50,0),D50*$D$34+(1-D50)*$E$34)</x:f>
        <x:v>2.636621875</x:v>
      </x:c>
      <x:c r="I50" s="28" t="n">
        <x:f>IF('Inputs'!$D$5=4,IF(G50&gt;0,(P107*K107+P113*K113+P119*K119)/G50,0),H50^E50-1)</x:f>
        <x:v>0.4954257488239732</x:v>
      </x:c>
      <x:c r="J50" s="28" t="n">
        <x:f>IF('Inputs'!$D$5=4,IF(G50&gt;0,(P107*L107+P113*L113+P119*L119)/G50,0),'Inputs'!$D$22*I50)</x:f>
        <x:v>0.17339901208839067</x:v>
      </x:c>
      <x:c r="K50" s="28" t="n">
        <x:f>IF('Inputs'!$D$5=4,IF(G50&gt;0,(P107*M107+P113*M113+P119*M119)/G50,0),(1-'Inputs'!$D$22)*'Inputs'!$D$23*(H50^'Inputs'!$D$26-1))</x:f>
        <x:v>0</x:v>
      </x:c>
      <x:c r="L50" s="44" t="n">
        <x:f>IF('Inputs'!$D$39="Valid",IF('Inputs'!$D$5=4,IF(G50&gt;0,SUM(Q107,Q113,Q119)/G50,"n.a."),1+SUM(J50:K50)*F50),NA())</x:f>
        <x:v>1.1733990120883908</x:v>
      </x:c>
      <x:c r="M50" s="44" t="n">
        <x:f>IF('Inputs'!$D$39="Valid",IF('Inputs'!$D$5=4,1+SUM(R107,R113,R119),1+G50*(L50-1)),NA())</x:f>
        <x:v>1.009247947311381</x:v>
      </x:c>
      <x:c r="N50" s="48" t="n">
        <x:f>IF(ISNUMBER(L50),1+COUNTIFS($L$45:$L$50,"&gt;"&amp;L50),"n.a.")</x:f>
        <x:v>6</x:v>
      </x:c>
      <x:c r="O50" s="48" t="n">
        <x:f>1+COUNTIFS($M$45:$M$50,"&gt;"&amp;M50)</x:f>
        <x:v>6</x:v>
      </x:c>
      <x:c r="P50" s="4"/>
      <x:c r="Q50" s="4"/>
    </x:row>
    <x:row r="51" ht="23" customHeight="1">
      <x:c r="C51" s="2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</x:row>
    <x:row r="52" ht="23" customHeight="1">
      <x:c r="C52" s="2" t="str">
        <x:v>Purification separates lab/analytical inputs from manufacturing. Manufacturing pass-through defaults to zero.</x:v>
      </x:c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</x:row>
    <x:row r="53" ht="23" customHeight="1">
      <x:c r="C53" s="2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</x:row>
    <x:row r="54" ht="23" customHeight="1">
      <x:c r="C54" s="2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</x:row>
    <x:row r="55" ht="25" customHeight="1">
      <x:c r="C55" s="33" t="str">
        <x:v>Throughput ramp</x:v>
      </x:c>
      <x:c r="D55" s="34"/>
      <x:c r="E55" s="34"/>
      <x:c r="F55" s="34"/>
      <x:c r="G55" s="34"/>
      <x:c r="H55" s="34"/>
      <x:c r="I55" s="34"/>
      <x:c r="J55" s="4"/>
      <x:c r="K55" s="4"/>
      <x:c r="L55" s="4"/>
      <x:c r="M55" s="4"/>
      <x:c r="N55" s="4"/>
      <x:c r="O55" s="4"/>
      <x:c r="P55" s="4"/>
      <x:c r="Q55" s="4"/>
    </x:row>
    <x:row r="56" ht="32" customHeight="1">
      <x:c r="C56" s="18" t="str">
        <x:v>Deployment year</x:v>
      </x:c>
      <x:c r="D56" s="50" t="n">
        <x:f>$D$9*0/5</x:f>
        <x:v>0</x:v>
      </x:c>
      <x:c r="E56" s="50" t="n">
        <x:f>$D$9*1/5</x:f>
        <x:v>1</x:v>
      </x:c>
      <x:c r="F56" s="50" t="n">
        <x:f>$D$9*2/5</x:f>
        <x:v>2</x:v>
      </x:c>
      <x:c r="G56" s="50" t="n">
        <x:f>$D$9*3/5</x:f>
        <x:v>3</x:v>
      </x:c>
      <x:c r="H56" s="50" t="n">
        <x:f>$D$9*4/5</x:f>
        <x:v>4</x:v>
      </x:c>
      <x:c r="I56" s="50" t="n">
        <x:f>$D$9*5/5</x:f>
        <x:v>5</x:v>
      </x:c>
      <x:c r="J56" s="4"/>
      <x:c r="K56" s="4"/>
      <x:c r="L56" s="4"/>
      <x:c r="M56" s="4"/>
      <x:c r="N56" s="4"/>
      <x:c r="O56" s="4"/>
      <x:c r="P56" s="4"/>
      <x:c r="Q56" s="4"/>
    </x:row>
    <x:row r="57" ht="23" customHeight="1">
      <x:c r="C57" s="2" t="str">
        <x:v>Commissioned equipment stock</x:v>
      </x:c>
      <x:c r="D57" s="35" t="n">
        <x:f>IF(D$56&lt;=$D$9,$D$18*MAX(0,D$56-$D$19)/$D$9,"")</x:f>
        <x:v>0</x:v>
      </x:c>
      <x:c r="E57" s="35" t="n">
        <x:f>IF(E$56&lt;=$D$9,$D$18*MAX(0,E$56-$D$19)/$D$9,"")</x:f>
        <x:v>1.575</x:v>
      </x:c>
      <x:c r="F57" s="35" t="n">
        <x:f>IF(F$56&lt;=$D$9,$D$18*MAX(0,F$56-$D$19)/$D$9,"")</x:f>
        <x:v>3.15</x:v>
      </x:c>
      <x:c r="G57" s="35" t="n">
        <x:f>IF(G$56&lt;=$D$9,$D$18*MAX(0,G$56-$D$19)/$D$9,"")</x:f>
        <x:v>4.725</x:v>
      </x:c>
      <x:c r="H57" s="35" t="n">
        <x:f>IF(H$56&lt;=$D$9,$D$18*MAX(0,H$56-$D$19)/$D$9,"")</x:f>
        <x:v>6.3</x:v>
      </x:c>
      <x:c r="I57" s="35" t="n">
        <x:f>IF(I$56&lt;=$D$9,$D$18*MAX(0,I$56-$D$19)/$D$9,"")</x:f>
        <x:v>7.875</x:v>
      </x:c>
      <x:c r="J57" s="4"/>
      <x:c r="K57" s="4"/>
      <x:c r="L57" s="4"/>
      <x:c r="M57" s="4"/>
      <x:c r="N57" s="4"/>
      <x:c r="O57" s="4"/>
      <x:c r="P57" s="4"/>
      <x:c r="Q57" s="4"/>
    </x:row>
    <x:row r="58" ht="23" customHeight="1">
      <x:c r="C58" s="2" t="str">
        <x:v>Build equipment increment</x:v>
      </x:c>
      <x:c r="D58" s="43" t="n">
        <x:f>IF(D$56&lt;=$D$9,D57*$D$26/$D$27,"")</x:f>
        <x:v>0</x:v>
      </x:c>
      <x:c r="E58" s="43" t="n">
        <x:f>IF(E$56&lt;=$D$9,E57*$D$26/$D$27,"")</x:f>
        <x:v>0.36749999999999994</x:v>
      </x:c>
      <x:c r="F58" s="43" t="n">
        <x:f>IF(F$56&lt;=$D$9,F57*$D$26/$D$27,"")</x:f>
        <x:v>0.7349999999999999</x:v>
      </x:c>
      <x:c r="G58" s="43" t="n">
        <x:f>IF(G$56&lt;=$D$9,G57*$D$26/$D$27,"")</x:f>
        <x:v>1.1024999999999998</x:v>
      </x:c>
      <x:c r="H58" s="43" t="n">
        <x:f>IF(H$56&lt;=$D$9,H57*$D$26/$D$27,"")</x:f>
        <x:v>1.4699999999999998</x:v>
      </x:c>
      <x:c r="I58" s="43" t="n">
        <x:f>IF(I$56&lt;=$D$9,I57*$D$26/$D$27,"")</x:f>
        <x:v>1.8374999999999997</x:v>
      </x:c>
      <x:c r="J58" s="4"/>
      <x:c r="K58" s="4"/>
      <x:c r="L58" s="4"/>
      <x:c r="M58" s="4"/>
      <x:c r="N58" s="4"/>
      <x:c r="O58" s="4"/>
      <x:c r="P58" s="4"/>
      <x:c r="Q58" s="4"/>
    </x:row>
    <x:row r="59" ht="23" customHeight="1">
      <x:c r="C59" s="2" t="str">
        <x:v>Test equipment increment</x:v>
      </x:c>
      <x:c r="D59" s="43" t="n">
        <x:f>IF(D$56&lt;=$D$9,D57*$E$26/$E$27,"")</x:f>
        <x:v>0</x:v>
      </x:c>
      <x:c r="E59" s="43" t="n">
        <x:f>IF(E$56&lt;=$D$9,E57*$E$26/$E$27,"")</x:f>
        <x:v>0.4095</x:v>
      </x:c>
      <x:c r="F59" s="43" t="n">
        <x:f>IF(F$56&lt;=$D$9,F57*$E$26/$E$27,"")</x:f>
        <x:v>0.819</x:v>
      </x:c>
      <x:c r="G59" s="43" t="n">
        <x:f>IF(G$56&lt;=$D$9,G57*$E$26/$E$27,"")</x:f>
        <x:v>1.2285</x:v>
      </x:c>
      <x:c r="H59" s="43" t="n">
        <x:f>IF(H$56&lt;=$D$9,H57*$E$26/$E$27,"")</x:f>
        <x:v>1.638</x:v>
      </x:c>
      <x:c r="I59" s="43" t="n">
        <x:f>IF(I$56&lt;=$D$9,I57*$E$26/$E$27,"")</x:f>
        <x:v>2.0475000000000003</x:v>
      </x:c>
      <x:c r="J59" s="4"/>
      <x:c r="K59" s="4"/>
      <x:c r="L59" s="4"/>
      <x:c r="M59" s="4"/>
      <x:c r="N59" s="4"/>
      <x:c r="O59" s="4"/>
      <x:c r="P59" s="4"/>
      <x:c r="Q59" s="4"/>
    </x:row>
    <x:row r="60" ht="23" customHeight="1">
      <x:c r="C60" s="2" t="str">
        <x:v>Build funded throughput</x:v>
      </x:c>
      <x:c r="D60" s="44" t="n">
        <x:f>IF(D$56&lt;=$D$9,MIN('Inputs'!$D$25,1+'Inputs'!$D$19*'Inputs'!$D$20*MIN(D58,$D$32)),"")</x:f>
        <x:v>1</x:v>
      </x:c>
      <x:c r="E60" s="44" t="n">
        <x:f>IF(E$56&lt;=$D$9,MIN('Inputs'!$D$25,1+'Inputs'!$D$19*'Inputs'!$D$20*MIN(E58,$D$32)),"")</x:f>
        <x:v>1.3123749999999998</x:v>
      </x:c>
      <x:c r="F60" s="44" t="n">
        <x:f>IF(F$56&lt;=$D$9,MIN('Inputs'!$D$25,1+'Inputs'!$D$19*'Inputs'!$D$20*MIN(F58,$D$32)),"")</x:f>
        <x:v>1.62475</x:v>
      </x:c>
      <x:c r="G60" s="44" t="n">
        <x:f>IF(G$56&lt;=$D$9,MIN('Inputs'!$D$25,1+'Inputs'!$D$19*'Inputs'!$D$20*MIN(G58,$D$32)),"")</x:f>
        <x:v>1.9371249999999998</x:v>
      </x:c>
      <x:c r="H60" s="44" t="n">
        <x:f>IF(H$56&lt;=$D$9,MIN('Inputs'!$D$25,1+'Inputs'!$D$19*'Inputs'!$D$20*MIN(H58,$D$32)),"")</x:f>
        <x:v>2.2495</x:v>
      </x:c>
      <x:c r="I60" s="44" t="n">
        <x:f>IF(I$56&lt;=$D$9,MIN('Inputs'!$D$25,1+'Inputs'!$D$19*'Inputs'!$D$20*MIN(I58,$D$32)),"")</x:f>
        <x:v>2.5618749999999997</x:v>
      </x:c>
      <x:c r="J60" s="4"/>
      <x:c r="K60" s="4"/>
      <x:c r="L60" s="4"/>
      <x:c r="M60" s="4"/>
      <x:c r="N60" s="4"/>
      <x:c r="O60" s="4"/>
      <x:c r="P60" s="4"/>
      <x:c r="Q60" s="4"/>
    </x:row>
    <x:row r="61" ht="23" customHeight="1">
      <x:c r="C61" s="2" t="str">
        <x:v>Test funded throughput</x:v>
      </x:c>
      <x:c r="D61" s="44" t="n">
        <x:f>IF(D$56&lt;=$D$9,MIN('Inputs'!$D$25,1+'Inputs'!$D$19*'Inputs'!$D$20*MIN(D59,$E$32)),"")</x:f>
        <x:v>1</x:v>
      </x:c>
      <x:c r="E61" s="44" t="n">
        <x:f>IF(E$56&lt;=$D$9,MIN('Inputs'!$D$25,1+'Inputs'!$D$19*'Inputs'!$D$20*MIN(E59,$E$32)),"")</x:f>
        <x:v>1.348075</x:v>
      </x:c>
      <x:c r="F61" s="44" t="n">
        <x:f>IF(F$56&lt;=$D$9,MIN('Inputs'!$D$25,1+'Inputs'!$D$19*'Inputs'!$D$20*MIN(F59,$E$32)),"")</x:f>
        <x:v>1.6961499999999998</x:v>
      </x:c>
      <x:c r="G61" s="44" t="n">
        <x:f>IF(G$56&lt;=$D$9,MIN('Inputs'!$D$25,1+'Inputs'!$D$19*'Inputs'!$D$20*MIN(G59,$E$32)),"")</x:f>
        <x:v>2.044225</x:v>
      </x:c>
      <x:c r="H61" s="44" t="n">
        <x:f>IF(H$56&lt;=$D$9,MIN('Inputs'!$D$25,1+'Inputs'!$D$19*'Inputs'!$D$20*MIN(H59,$E$32)),"")</x:f>
        <x:v>2.3922999999999996</x:v>
      </x:c>
      <x:c r="I61" s="44" t="n">
        <x:f>IF(I$56&lt;=$D$9,MIN('Inputs'!$D$25,1+'Inputs'!$D$19*'Inputs'!$D$20*MIN(I59,$E$32)),"")</x:f>
        <x:v>2.7403750000000002</x:v>
      </x:c>
      <x:c r="J61" s="4"/>
      <x:c r="K61" s="4"/>
      <x:c r="L61" s="4"/>
      <x:c r="M61" s="4"/>
      <x:c r="N61" s="4"/>
      <x:c r="O61" s="4"/>
      <x:c r="P61" s="4"/>
      <x:c r="Q61" s="4"/>
    </x:row>
    <x:row r="62" ht="23" customHeight="1">
      <x:c r="C62" s="2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</x:row>
    <x:row r="63" ht="23" customHeight="1">
      <x:c r="C63" s="2" t="str">
        <x:v>Six equally spaced points span deployment. Continued execution needs recurring annual funding.</x:v>
      </x:c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</x:row>
    <x:row r="64" ht="23" customHeight="1">
      <x:c r="C64" s="2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</x:row>
    <x:row r="65" ht="23" customHeight="1">
      <x:c r="C65" s="2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</x:row>
    <x:row r="66" ht="25" customHeight="1">
      <x:c r="C66" s="33" t="str">
        <x:v>Target funding backsolve</x:v>
      </x:c>
      <x:c r="D66" s="34"/>
      <x:c r="E66" s="34"/>
      <x:c r="F66" s="34"/>
      <x:c r="G66" s="34"/>
      <x:c r="H66" s="34"/>
      <x:c r="I66" s="34"/>
      <x:c r="J66" s="34"/>
      <x:c r="K66" s="34"/>
      <x:c r="L66" s="4"/>
      <x:c r="M66" s="4"/>
      <x:c r="N66" s="4"/>
      <x:c r="O66" s="4"/>
      <x:c r="P66" s="4"/>
      <x:c r="Q66" s="4"/>
    </x:row>
    <x:row r="67" ht="32" customHeight="1">
      <x:c r="C67" s="18" t="str">
        <x:v>Target</x:v>
      </x:c>
      <x:c r="D67" s="19" t="str">
        <x:v>Required increment</x:v>
      </x:c>
      <x:c r="E67" s="19" t="str">
        <x:v>Build capital</x:v>
      </x:c>
      <x:c r="F67" s="19" t="str">
        <x:v>Build running</x:v>
      </x:c>
      <x:c r="G67" s="19" t="str">
        <x:v>Test capital</x:v>
      </x:c>
      <x:c r="H67" s="19" t="str">
        <x:v>Test running</x:v>
      </x:c>
      <x:c r="I67" s="19" t="str">
        <x:v>Both stages</x:v>
      </x:c>
      <x:c r="J67" s="19" t="str">
        <x:v>Funding gap</x:v>
      </x:c>
      <x:c r="K67" s="19" t="str">
        <x:v>Within $200bn</x:v>
      </x:c>
      <x:c r="L67" s="4"/>
      <x:c r="M67" s="4"/>
      <x:c r="N67" s="4"/>
      <x:c r="O67" s="4"/>
      <x:c r="P67" s="4"/>
      <x:c r="Q67" s="4"/>
    </x:row>
    <x:row r="68" ht="23" customHeight="1">
      <x:c r="C68" s="53" t="n">
        <x:f>'Inputs'!D24</x:f>
        <x:v>2</x:v>
      </x:c>
      <x:c r="D68" s="44" t="n">
        <x:f>IF($D$72,(C68-1)/('Inputs'!$D$19*'Inputs'!$D$20),"n.a.")</x:f>
        <x:v>1.1764705882352942</x:v>
      </x:c>
      <x:c r="E68" s="35" t="n">
        <x:f>IF($D$72,D68*$D$27/($D$11*$D$12*$D$26*$D$20),"n.a.")</x:f>
        <x:v>32.012805122048825</x:v>
      </x:c>
      <x:c r="F68" s="35" t="n">
        <x:f>IF($D$72,D68*$D$9*$D$28/($D$11*(1-$D$12)*$D$26),"n.a.")</x:f>
        <x:v>30.557677616501152</x:v>
      </x:c>
      <x:c r="G68" s="35" t="n">
        <x:f>IF($D$72,D68*$E$27/($D$11*$D$12*$E$26*$D$20),"n.a.")</x:f>
        <x:v>28.729440494146377</x:v>
      </x:c>
      <x:c r="H68" s="35" t="n">
        <x:f>IF($D$72,D68*$D$9*$E$28/($D$11*(1-$D$12)*$E$26),"n.a.")</x:f>
        <x:v>25.85649644473174</x:v>
      </x:c>
      <x:c r="I68" s="35" t="n">
        <x:f>IF($D$72,MAX(E68:H68),"n.a.")</x:f>
        <x:v>32.012805122048825</x:v>
      </x:c>
      <x:c r="J68" s="35" t="n">
        <x:f>IF(ISNUMBER(I68),MAX(0,I68-$D$8),"n.a.")</x:f>
        <x:v>0</x:v>
      </x:c>
      <x:c r="K68" s="35" t="str">
        <x:f>IF(ISNUMBER(I68),IF(I68&lt;=200,"Yes","No"),"Infeasible")</x:f>
        <x:v>Yes</x:v>
      </x:c>
      <x:c r="L68" s="4"/>
      <x:c r="M68" s="4"/>
      <x:c r="N68" s="4"/>
      <x:c r="O68" s="4"/>
      <x:c r="P68" s="4"/>
      <x:c r="Q68" s="4"/>
    </x:row>
    <x:row r="69" ht="23" customHeight="1">
      <x:c r="C69" s="53" t="n">
        <x:f>'Inputs'!D25</x:f>
        <x:v>10</x:v>
      </x:c>
      <x:c r="D69" s="44" t="n">
        <x:f>IF($D$72,(C69-1)/('Inputs'!$D$19*'Inputs'!$D$20),"n.a.")</x:f>
        <x:v>10.588235294117647</x:v>
      </x:c>
      <x:c r="E69" s="35" t="n">
        <x:f>IF($D$72,D69*$D$27/($D$11*$D$12*$D$26*$D$20),"n.a.")</x:f>
        <x:v>288.1152460984394</x:v>
      </x:c>
      <x:c r="F69" s="35" t="n">
        <x:f>IF($D$72,D69*$D$9*$D$28/($D$11*(1-$D$12)*$D$26),"n.a.")</x:f>
        <x:v>275.0190985485103</x:v>
      </x:c>
      <x:c r="G69" s="35" t="n">
        <x:f>IF($D$72,D69*$E$27/($D$11*$D$12*$E$26*$D$20),"n.a.")</x:f>
        <x:v>258.5649644473174</x:v>
      </x:c>
      <x:c r="H69" s="35" t="n">
        <x:f>IF($D$72,D69*$D$9*$E$28/($D$11*(1-$D$12)*$E$26),"n.a.")</x:f>
        <x:v>232.70846800258562</x:v>
      </x:c>
      <x:c r="I69" s="35" t="n">
        <x:f>IF($D$72,MAX(E69:H69),"n.a.")</x:f>
        <x:v>288.1152460984394</x:v>
      </x:c>
      <x:c r="J69" s="35" t="n">
        <x:f>IF(ISNUMBER(I69),MAX(0,I69-$D$8),"n.a.")</x:f>
        <x:v>238.1152460984394</x:v>
      </x:c>
      <x:c r="K69" s="35" t="str">
        <x:f>IF(ISNUMBER(I69),IF(I69&lt;=200,"Yes","No"),"Infeasible")</x:f>
        <x:v>No</x:v>
      </x:c>
      <x:c r="L69" s="4"/>
      <x:c r="M69" s="4"/>
      <x:c r="N69" s="4"/>
      <x:c r="O69" s="4"/>
      <x:c r="P69" s="4"/>
      <x:c r="Q69" s="4"/>
    </x:row>
    <x:row r="70" ht="23" customHeight="1">
      <x:c r="C70" s="2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</x:row>
    <x:row r="71" ht="23" customHeight="1">
      <x:c r="C71" s="2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</x:row>
    <x:row r="72" ht="23" customHeight="1">
      <x:c r="C72" s="2" t="str">
        <x:v>Both-stage target feasible</x:v>
      </x:c>
      <x:c r="D72" s="51" t="b">
        <x:f>AND($D$20&gt;0,$D$11&gt;0,$D$12&gt;0,$D$12&lt;1,$D$26&gt;0,$E$26&gt;0,'Inputs'!$D$19&gt;0,'Inputs'!$D$20&gt;0)</x:f>
        <x:v>1</x:v>
      </x:c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</x:row>
    <x:row r="73" ht="23" customHeight="1">
      <x:c r="C73" s="2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</x:row>
    <x:row r="74" ht="23" customHeight="1">
      <x:c r="C74" s="2" t="str">
        <x:v>Funding needs may exceed the slider range. No ceiling is applied to the target backsolve.</x:v>
      </x:c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</x:row>
    <x:row r="75" ht="23" customHeight="1">
      <x:c r="C75" s="2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</x:row>
    <x:row r="76" ht="23" customHeight="1">
      <x:c r="C76" s="2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</x:row>
    <x:row r="77" ht="32" customHeight="1">
      <x:c r="C77" s="18" t="str">
        <x:v>Family</x:v>
      </x:c>
      <x:c r="D77" s="19" t="str">
        <x:v>AI cohort</x:v>
      </x:c>
      <x:c r="E77" s="19" t="str">
        <x:v>Whole family</x:v>
      </x:c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</x:row>
    <x:row r="78" ht="23" customHeight="1">
      <x:c r="C78" s="2" t="str">
        <x:v>Molecular</x:v>
      </x:c>
      <x:c r="D78" s="35" t="n">
        <x:f>L45</x:f>
        <x:v>2.0807822709371044</x:v>
      </x:c>
      <x:c r="E78" s="35" t="n">
        <x:f>M45</x:f>
        <x:v>1.1296938725124526</x:v>
      </x:c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</x:row>
    <x:row r="79" ht="23" customHeight="1">
      <x:c r="C79" s="2" t="str">
        <x:v>Protein assays</x:v>
      </x:c>
      <x:c r="D79" s="35" t="n">
        <x:f>L46</x:f>
        <x:v>2.1810922121687724</x:v>
      </x:c>
      <x:c r="E79" s="35" t="n">
        <x:f>M46</x:f>
        <x:v>1.157478961622503</x:v>
      </x:c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</x:row>
    <x:row r="80" ht="23" customHeight="1">
      <x:c r="C80" s="2" t="str">
        <x:v>Cells / culture</x:v>
      </x:c>
      <x:c r="D80" s="35" t="n">
        <x:f>L47</x:f>
        <x:v>2.5491367917685914</x:v>
      </x:c>
      <x:c r="E80" s="35" t="n">
        <x:f>M47</x:f>
        <x:v>1.2426980973770794</x:v>
      </x:c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</x:row>
    <x:row r="81" ht="23" customHeight="1">
      <x:c r="C81" s="2" t="str">
        <x:v>Labware</x:v>
      </x:c>
      <x:c r="D81" s="35" t="n">
        <x:f>L48</x:f>
        <x:v>1.4786386784945422</x:v>
      </x:c>
      <x:c r="E81" s="35" t="n">
        <x:f>M48</x:f>
        <x:v>1.0446729433261572</x:v>
      </x:c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</x:row>
    <x:row r="82" ht="23" customHeight="1">
      <x:c r="C82" s="2" t="str">
        <x:v>Analytics</x:v>
      </x:c>
      <x:c r="D82" s="35" t="n">
        <x:f>L49</x:f>
        <x:v>2.402792123035671</x:v>
      </x:c>
      <x:c r="E82" s="35" t="n">
        <x:f>M49</x:f>
        <x:v>1.2057428447118985</x:v>
      </x:c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</x:row>
    <x:row r="83" ht="23" customHeight="1">
      <x:c r="C83" s="2" t="str">
        <x:v>Purification</x:v>
      </x:c>
      <x:c r="D83" s="35" t="n">
        <x:f>L50</x:f>
        <x:v>1.1733990120883908</x:v>
      </x:c>
      <x:c r="E83" s="35" t="n">
        <x:f>M50</x:f>
        <x:v>1.009247947311381</x:v>
      </x:c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</x:row>
    <x:row r="84" ht="23" customHeight="1">
      <x:c r="C84" s="2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</x:row>
    <x:row r="85" ht="32" customHeight="1">
      <x:c r="C85" s="18" t="str">
        <x:v>Year</x:v>
      </x:c>
      <x:c r="D85" s="19" t="str">
        <x:v>Build</x:v>
      </x:c>
      <x:c r="E85" s="19" t="str">
        <x:v>Test</x:v>
      </x:c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</x:row>
    <x:row r="86" ht="23" customHeight="1">
      <x:c r="C86" s="11" t="n">
        <x:f>IF(D$56&lt;=$D$9,D$56,"")</x:f>
        <x:v>0</x:v>
      </x:c>
      <x:c r="D86" s="35" t="n">
        <x:f>D60</x:f>
        <x:v>1</x:v>
      </x:c>
      <x:c r="E86" s="35" t="n">
        <x:f>D61</x:f>
        <x:v>1</x:v>
      </x:c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</x:row>
    <x:row r="87" ht="23" customHeight="1">
      <x:c r="C87" s="11" t="n">
        <x:f>IF(E$56&lt;=$D$9,E$56,"")</x:f>
        <x:v>1</x:v>
      </x:c>
      <x:c r="D87" s="35" t="n">
        <x:f>E60</x:f>
        <x:v>1.3123749999999998</x:v>
      </x:c>
      <x:c r="E87" s="35" t="n">
        <x:f>E61</x:f>
        <x:v>1.348075</x:v>
      </x:c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</x:row>
    <x:row r="88" ht="23" customHeight="1">
      <x:c r="C88" s="11" t="n">
        <x:f>IF(F$56&lt;=$D$9,F$56,"")</x:f>
        <x:v>2</x:v>
      </x:c>
      <x:c r="D88" s="35" t="n">
        <x:f>F60</x:f>
        <x:v>1.62475</x:v>
      </x:c>
      <x:c r="E88" s="35" t="n">
        <x:f>F61</x:f>
        <x:v>1.6961499999999998</x:v>
      </x:c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</x:row>
    <x:row r="89" ht="23" customHeight="1">
      <x:c r="C89" s="11" t="n">
        <x:f>IF(G$56&lt;=$D$9,G$56,"")</x:f>
        <x:v>3</x:v>
      </x:c>
      <x:c r="D89" s="35" t="n">
        <x:f>G60</x:f>
        <x:v>1.9371249999999998</x:v>
      </x:c>
      <x:c r="E89" s="35" t="n">
        <x:f>G61</x:f>
        <x:v>2.044225</x:v>
      </x:c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</x:row>
    <x:row r="90" ht="23" customHeight="1">
      <x:c r="C90" s="11" t="n">
        <x:f>IF(H$56&lt;=$D$9,H$56,"")</x:f>
        <x:v>4</x:v>
      </x:c>
      <x:c r="D90" s="35" t="n">
        <x:f>H60</x:f>
        <x:v>2.2495</x:v>
      </x:c>
      <x:c r="E90" s="35" t="n">
        <x:f>H61</x:f>
        <x:v>2.3922999999999996</x:v>
      </x:c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</x:row>
    <x:row r="91" ht="23" customHeight="1">
      <x:c r="C91" s="11" t="n">
        <x:f>IF(I$56&lt;=$D$9,I$56,"")</x:f>
        <x:v>5</x:v>
      </x:c>
      <x:c r="D91" s="35" t="n">
        <x:f>I60</x:f>
        <x:v>2.5618749999999997</x:v>
      </x:c>
      <x:c r="E91" s="35" t="n">
        <x:f>I61</x:f>
        <x:v>2.7403750000000002</x:v>
      </x:c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</x:row>
    <x:row r="92" ht="23" customHeight="1">
      <x:c r="C92" s="2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</x:row>
    <x:row r="93" ht="23" customHeight="1">
      <x:c r="C93" s="2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</x:row>
    <x:row r="94" ht="23" customHeight="1">
      <x:c r="C94" s="2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</x:row>
    <x:row r="95" ht="23" customHeight="1">
      <x:c r="C95" s="2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</x:row>
    <x:row r="96" ht="23" customHeight="1">
      <x:c r="C96" s="2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</x:row>
    <x:row r="97" ht="23" customHeight="1">
      <x:c r="C97" s="2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</x:row>
    <x:row r="98" ht="23" customHeight="1">
      <x:c r="C98" s="2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</x:row>
    <x:row r="99" ht="23" customHeight="1">
      <x:c r="C99" s="2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</x:row>
    <x:row r="100" ht="25" customHeight="1">
      <x:c r="C100" s="33" t="str">
        <x:v>Workflow components for Total</x:v>
      </x:c>
      <x:c r="D100" s="34"/>
      <x:c r="E100" s="34"/>
      <x:c r="F100" s="34"/>
      <x:c r="G100" s="34"/>
      <x:c r="H100" s="34"/>
      <x:c r="I100" s="34"/>
      <x:c r="J100" s="34"/>
      <x:c r="K100" s="34"/>
      <x:c r="L100" s="34"/>
      <x:c r="M100" s="34"/>
      <x:c r="N100" s="34"/>
      <x:c r="O100" s="34"/>
      <x:c r="P100" s="34"/>
      <x:c r="Q100" s="34"/>
      <x:c r="R100" s="55"/>
    </x:row>
    <x:row r="101" ht="32" customHeight="1">
      <x:c r="C101" s="18" t="str">
        <x:v>Workflow</x:v>
      </x:c>
      <x:c r="D101" s="19" t="str">
        <x:v>Family</x:v>
      </x:c>
      <x:c r="E101" s="19" t="str">
        <x:v>Mix</x:v>
      </x:c>
      <x:c r="F101" s="19" t="str">
        <x:v>Build weight</x:v>
      </x:c>
      <x:c r="G101" s="19" t="str">
        <x:v>Exponent</x:v>
      </x:c>
      <x:c r="H101" s="19" t="str">
        <x:v>Price</x:v>
      </x:c>
      <x:c r="I101" s="19" t="str">
        <x:v>AI exposure</x:v>
      </x:c>
      <x:c r="J101" s="19" t="str">
        <x:v>Activity</x:v>
      </x:c>
      <x:c r="K101" s="19" t="str">
        <x:v>Raw increment</x:v>
      </x:c>
      <x:c r="L101" s="19" t="str">
        <x:v>Lab increment</x:v>
      </x:c>
      <x:c r="M101" s="19" t="str">
        <x:v>Mfg increment</x:v>
      </x:c>
      <x:c r="N101" s="19" t="str">
        <x:v>AI purchases</x:v>
      </x:c>
      <x:c r="O101" s="19" t="str">
        <x:v>Whole family</x:v>
      </x:c>
      <x:c r="P101" s="19" t="str">
        <x:v>AI base</x:v>
      </x:c>
      <x:c r="Q101" s="19" t="str">
        <x:v>Weighted purchases</x:v>
      </x:c>
      <x:c r="R101" s="18" t="str">
        <x:v>Market increment</x:v>
      </x:c>
    </x:row>
    <x:row r="102" ht="35" customHeight="1">
      <x:c r="C102" s="61" t="str">
        <x:v>Protein / antibody discovery</x:v>
      </x:c>
      <x:c r="D102" s="40" t="str">
        <x:v>Molecular construction</x:v>
      </x:c>
      <x:c r="E102" s="42" t="n">
        <x:f>IF('Inputs'!$D$5=4,'Inputs'!E100,IF('Inputs'!$D$5=1,1,0))</x:f>
        <x:v>0.3333333333333333</x:v>
      </x:c>
      <x:c r="F102" s="42" t="n">
        <x:f>'Inputs'!D43</x:f>
        <x:v>1</x:v>
      </x:c>
      <x:c r="G102" s="28" t="n">
        <x:f>'Inputs'!E43</x:f>
        <x:v>0.9</x:v>
      </x:c>
      <x:c r="H102" s="28" t="n">
        <x:f>'Inputs'!F43</x:f>
        <x:v>1</x:v>
      </x:c>
      <x:c r="I102" s="42" t="n">
        <x:f>'Inputs'!G43</x:f>
        <x:v>0.12</x:v>
      </x:c>
      <x:c r="J102" s="35" t="n">
        <x:f>F102*$D$34+(1-F102)*$E$34</x:f>
        <x:v>2.5618749999999997</x:v>
      </x:c>
      <x:c r="K102" s="35" t="n">
        <x:f>J102^G102-1</x:f>
        <x:v>1.3318582246810866</x:v>
      </x:c>
      <x:c r="L102" s="35" t="n">
        <x:f>K102</x:f>
        <x:v>1.3318582246810866</x:v>
      </x:c>
      <x:c r="M102" s="35" t="n">
        <x:f>0</x:f>
        <x:v>0</x:v>
      </x:c>
      <x:c r="N102" s="43" t="n">
        <x:f>IF(E102=0,1,1+SUM(L102:M102)*H102)</x:f>
        <x:v>2.3318582246810866</x:v>
      </x:c>
      <x:c r="O102" s="43" t="n">
        <x:f>IF(E102=0,1,1+I102*(N102-1))</x:f>
        <x:v>1.1598229869617305</x:v>
      </x:c>
      <x:c r="P102" s="35" t="n">
        <x:f>IF(E102=0,0,E102*I102)</x:f>
        <x:v>0.039999999999999994</x:v>
      </x:c>
      <x:c r="Q102" s="35" t="n">
        <x:f>P102*N102</x:f>
        <x:v>0.09327432898724344</x:v>
      </x:c>
      <x:c r="R102" s="60" t="n">
        <x:f>E102*(O102-1)</x:f>
        <x:v>0.05327432898724349</x:v>
      </x:c>
    </x:row>
    <x:row r="103" ht="35" customHeight="1">
      <x:c r="C103" s="61" t="str">
        <x:v>Protein / antibody discovery</x:v>
      </x:c>
      <x:c r="D103" s="40" t="str">
        <x:v>Protein &amp; functional assays</x:v>
      </x:c>
      <x:c r="E103" s="42" t="n">
        <x:f>IF('Inputs'!$D$5=4,'Inputs'!E100,IF('Inputs'!$D$5=1,1,0))</x:f>
        <x:v>0.3333333333333333</x:v>
      </x:c>
      <x:c r="F103" s="42" t="n">
        <x:f>'Inputs'!D44</x:f>
        <x:v>0.15</x:v>
      </x:c>
      <x:c r="G103" s="28" t="n">
        <x:f>'Inputs'!E44</x:f>
        <x:v>0.95</x:v>
      </x:c>
      <x:c r="H103" s="28" t="n">
        <x:f>'Inputs'!F44</x:f>
        <x:v>1</x:v>
      </x:c>
      <x:c r="I103" s="42" t="n">
        <x:f>'Inputs'!G44</x:f>
        <x:v>0.2</x:v>
      </x:c>
      <x:c r="J103" s="35" t="n">
        <x:f>F103*$D$34+(1-F103)*$E$34</x:f>
        <x:v>2.7136</x:v>
      </x:c>
      <x:c r="K103" s="35" t="n">
        <x:f>J103^G103-1</x:f>
        <x:v>1.5814786586911738</x:v>
      </x:c>
      <x:c r="L103" s="35" t="n">
        <x:f>K103</x:f>
        <x:v>1.5814786586911738</x:v>
      </x:c>
      <x:c r="M103" s="35" t="n">
        <x:f>0</x:f>
        <x:v>0</x:v>
      </x:c>
      <x:c r="N103" s="43" t="n">
        <x:f>IF(E103=0,1,1+SUM(L103:M103)*H103)</x:f>
        <x:v>2.5814786586911738</x:v>
      </x:c>
      <x:c r="O103" s="43" t="n">
        <x:f>IF(E103=0,1,1+I103*(N103-1))</x:f>
        <x:v>1.3162957317382347</x:v>
      </x:c>
      <x:c r="P103" s="35" t="n">
        <x:f>IF(E103=0,0,E103*I103)</x:f>
        <x:v>0.06666666666666667</x:v>
      </x:c>
      <x:c r="Q103" s="35" t="n">
        <x:f>P103*N103</x:f>
        <x:v>0.17209857724607824</x:v>
      </x:c>
      <x:c r="R103" s="60" t="n">
        <x:f>E103*(O103-1)</x:f>
        <x:v>0.10543191057941155</x:v>
      </x:c>
    </x:row>
    <x:row r="104" ht="35" customHeight="1">
      <x:c r="C104" s="61" t="str">
        <x:v>Protein / antibody discovery</x:v>
      </x:c>
      <x:c r="D104" s="40" t="str">
        <x:v>Cells &amp; culture systems</x:v>
      </x:c>
      <x:c r="E104" s="42" t="n">
        <x:f>IF('Inputs'!$D$5=4,'Inputs'!E100,IF('Inputs'!$D$5=1,1,0))</x:f>
        <x:v>0.3333333333333333</x:v>
      </x:c>
      <x:c r="F104" s="42" t="n">
        <x:f>'Inputs'!D45</x:f>
        <x:v>0.1</x:v>
      </x:c>
      <x:c r="G104" s="28" t="n">
        <x:f>'Inputs'!E45</x:f>
        <x:v>0.75</x:v>
      </x:c>
      <x:c r="H104" s="28" t="n">
        <x:f>'Inputs'!F45</x:f>
        <x:v>1</x:v>
      </x:c>
      <x:c r="I104" s="42" t="n">
        <x:f>'Inputs'!G45</x:f>
        <x:v>0.1</x:v>
      </x:c>
      <x:c r="J104" s="35" t="n">
        <x:f>F104*$D$34+(1-F104)*$E$34</x:f>
        <x:v>2.722525</x:v>
      </x:c>
      <x:c r="K104" s="35" t="n">
        <x:f>J104^G104-1</x:f>
        <x:v>1.1194779723181947</x:v>
      </x:c>
      <x:c r="L104" s="35" t="n">
        <x:f>K104</x:f>
        <x:v>1.1194779723181947</x:v>
      </x:c>
      <x:c r="M104" s="35" t="n">
        <x:f>0</x:f>
        <x:v>0</x:v>
      </x:c>
      <x:c r="N104" s="43" t="n">
        <x:f>IF(E104=0,1,1+SUM(L104:M104)*H104)</x:f>
        <x:v>2.1194779723181947</x:v>
      </x:c>
      <x:c r="O104" s="43" t="n">
        <x:f>IF(E104=0,1,1+I104*(N104-1))</x:f>
        <x:v>1.1119477972318195</x:v>
      </x:c>
      <x:c r="P104" s="35" t="n">
        <x:f>IF(E104=0,0,E104*I104)</x:f>
        <x:v>0.03333333333333333</x:v>
      </x:c>
      <x:c r="Q104" s="35" t="n">
        <x:f>P104*N104</x:f>
        <x:v>0.07064926574393982</x:v>
      </x:c>
      <x:c r="R104" s="60" t="n">
        <x:f>E104*(O104-1)</x:f>
        <x:v>0.03731593241060649</x:v>
      </x:c>
    </x:row>
    <x:row r="105" ht="35" customHeight="1">
      <x:c r="C105" s="61" t="str">
        <x:v>Protein / antibody discovery</x:v>
      </x:c>
      <x:c r="D105" s="40" t="str">
        <x:v>Labware &amp; sample handling</x:v>
      </x:c>
      <x:c r="E105" s="42" t="n">
        <x:f>IF('Inputs'!$D$5=4,'Inputs'!E100,IF('Inputs'!$D$5=1,1,0))</x:f>
        <x:v>0.3333333333333333</x:v>
      </x:c>
      <x:c r="F105" s="42" t="n">
        <x:f>'Inputs'!D46</x:f>
        <x:v>0.35</x:v>
      </x:c>
      <x:c r="G105" s="28" t="n">
        <x:f>'Inputs'!E46</x:f>
        <x:v>0.4</x:v>
      </x:c>
      <x:c r="H105" s="28" t="n">
        <x:f>'Inputs'!F46</x:f>
        <x:v>1</x:v>
      </x:c>
      <x:c r="I105" s="42" t="n">
        <x:f>'Inputs'!G46</x:f>
        <x:v>0.08</x:v>
      </x:c>
      <x:c r="J105" s="35" t="n">
        <x:f>F105*$D$34+(1-F105)*$E$34</x:f>
        <x:v>2.6779</x:v>
      </x:c>
      <x:c r="K105" s="35" t="n">
        <x:f>J105^G105-1</x:f>
        <x:v>0.4829200669017424</x:v>
      </x:c>
      <x:c r="L105" s="35" t="n">
        <x:f>K105</x:f>
        <x:v>0.4829200669017424</x:v>
      </x:c>
      <x:c r="M105" s="35" t="n">
        <x:f>0</x:f>
        <x:v>0</x:v>
      </x:c>
      <x:c r="N105" s="43" t="n">
        <x:f>IF(E105=0,1,1+SUM(L105:M105)*H105)</x:f>
        <x:v>1.4829200669017424</x:v>
      </x:c>
      <x:c r="O105" s="43" t="n">
        <x:f>IF(E105=0,1,1+I105*(N105-1))</x:f>
        <x:v>1.0386336053521394</x:v>
      </x:c>
      <x:c r="P105" s="35" t="n">
        <x:f>IF(E105=0,0,E105*I105)</x:f>
        <x:v>0.026666666666666665</x:v>
      </x:c>
      <x:c r="Q105" s="35" t="n">
        <x:f>P105*N105</x:f>
        <x:v>0.03954453511737979</x:v>
      </x:c>
      <x:c r="R105" s="60" t="n">
        <x:f>E105*(O105-1)</x:f>
        <x:v>0.012877868450713148</x:v>
      </x:c>
    </x:row>
    <x:row r="106" ht="35" customHeight="1">
      <x:c r="C106" s="61" t="str">
        <x:v>Protein / antibody discovery</x:v>
      </x:c>
      <x:c r="D106" s="40" t="str">
        <x:v>Measurement &amp; analytics</x:v>
      </x:c>
      <x:c r="E106" s="42" t="n">
        <x:f>IF('Inputs'!$D$5=4,'Inputs'!E100,IF('Inputs'!$D$5=1,1,0))</x:f>
        <x:v>0.3333333333333333</x:v>
      </x:c>
      <x:c r="F106" s="42" t="n">
        <x:f>'Inputs'!D47</x:f>
        <x:v>0.05</x:v>
      </x:c>
      <x:c r="G106" s="28" t="n">
        <x:f>'Inputs'!E47</x:f>
        <x:v>0.7</x:v>
      </x:c>
      <x:c r="H106" s="28" t="n">
        <x:f>'Inputs'!F47</x:f>
        <x:v>1</x:v>
      </x:c>
      <x:c r="I106" s="42" t="n">
        <x:f>'Inputs'!G47</x:f>
        <x:v>0.12</x:v>
      </x:c>
      <x:c r="J106" s="35" t="n">
        <x:f>F106*$D$34+(1-F106)*$E$34</x:f>
        <x:v>2.73145</x:v>
      </x:c>
      <x:c r="K106" s="35" t="n">
        <x:f>J106^G106-1</x:f>
        <x:v>1.020576410837624</x:v>
      </x:c>
      <x:c r="L106" s="35" t="n">
        <x:f>K106</x:f>
        <x:v>1.020576410837624</x:v>
      </x:c>
      <x:c r="M106" s="35" t="n">
        <x:f>0</x:f>
        <x:v>0</x:v>
      </x:c>
      <x:c r="N106" s="43" t="n">
        <x:f>IF(E106=0,1,1+SUM(L106:M106)*H106)</x:f>
        <x:v>2.020576410837624</x:v>
      </x:c>
      <x:c r="O106" s="43" t="n">
        <x:f>IF(E106=0,1,1+I106*(N106-1))</x:f>
        <x:v>1.1224691693005149</x:v>
      </x:c>
      <x:c r="P106" s="35" t="n">
        <x:f>IF(E106=0,0,E106*I106)</x:f>
        <x:v>0.039999999999999994</x:v>
      </x:c>
      <x:c r="Q106" s="35" t="n">
        <x:f>P106*N106</x:f>
        <x:v>0.08082305643350494</x:v>
      </x:c>
      <x:c r="R106" s="60" t="n">
        <x:f>E106*(O106-1)</x:f>
        <x:v>0.04082305643350496</x:v>
      </x:c>
    </x:row>
    <x:row r="107" ht="35" customHeight="1">
      <x:c r="C107" s="61" t="str">
        <x:v>Protein / antibody discovery</x:v>
      </x:c>
      <x:c r="D107" s="40" t="str">
        <x:v>Purification &amp; scale-up</x:v>
      </x:c>
      <x:c r="E107" s="42" t="n">
        <x:f>IF('Inputs'!$D$5=4,'Inputs'!E100,IF('Inputs'!$D$5=1,1,0))</x:f>
        <x:v>0.3333333333333333</x:v>
      </x:c>
      <x:c r="F107" s="42" t="n">
        <x:f>'Inputs'!D48</x:f>
        <x:v>0.6</x:v>
      </x:c>
      <x:c r="G107" s="28" t="n">
        <x:f>'Inputs'!E48</x:f>
        <x:v>0.5</x:v>
      </x:c>
      <x:c r="H107" s="28" t="n">
        <x:f>'Inputs'!F48</x:f>
        <x:v>1</x:v>
      </x:c>
      <x:c r="I107" s="42" t="n">
        <x:f>'Inputs'!G48</x:f>
        <x:v>0.06</x:v>
      </x:c>
      <x:c r="J107" s="35" t="n">
        <x:f>F107*$D$34+(1-F107)*$E$34</x:f>
        <x:v>2.6332750000000003</x:v>
      </x:c>
      <x:c r="K107" s="35" t="n">
        <x:f>J107^G107-1</x:f>
        <x:v>0.6227368856348834</x:v>
      </x:c>
      <x:c r="L107" s="28" t="n">
        <x:f>'Inputs'!$D$22*K107</x:f>
        <x:v>0.21795790997220918</x:v>
      </x:c>
      <x:c r="M107" s="28" t="n">
        <x:f>(1-'Inputs'!$D$22)*'Inputs'!$D$23*(J107^'Inputs'!$D$26-1)</x:f>
        <x:v>0</x:v>
      </x:c>
      <x:c r="N107" s="43" t="n">
        <x:f>IF(E107=0,1,1+SUM(L107:M107)*H107)</x:f>
        <x:v>1.217957909972209</x:v>
      </x:c>
      <x:c r="O107" s="43" t="n">
        <x:f>IF(E107=0,1,1+I107*(N107-1))</x:f>
        <x:v>1.0130774745983326</x:v>
      </x:c>
      <x:c r="P107" s="35" t="n">
        <x:f>IF(E107=0,0,E107*I107)</x:f>
        <x:v>0.019999999999999997</x:v>
      </x:c>
      <x:c r="Q107" s="35" t="n">
        <x:f>P107*N107</x:f>
        <x:v>0.02435915819944418</x:v>
      </x:c>
      <x:c r="R107" s="60" t="n">
        <x:f>E107*(O107-1)</x:f>
        <x:v>0.004359158199444213</x:v>
      </x:c>
    </x:row>
    <x:row r="108" ht="35" customHeight="1">
      <x:c r="C108" s="61" t="str">
        <x:v>Cell-data / perturbation factory</x:v>
      </x:c>
      <x:c r="D108" s="40" t="str">
        <x:v>Molecular construction</x:v>
      </x:c>
      <x:c r="E108" s="42" t="n">
        <x:f>IF('Inputs'!$D$5=4,'Inputs'!E101,IF('Inputs'!$D$5=2,1,0))</x:f>
        <x:v>0.3333333333333333</x:v>
      </x:c>
      <x:c r="F108" s="42" t="n">
        <x:f>'Inputs'!D53</x:f>
        <x:v>0.75</x:v>
      </x:c>
      <x:c r="G108" s="28" t="n">
        <x:f>'Inputs'!E53</x:f>
        <x:v>0.8</x:v>
      </x:c>
      <x:c r="H108" s="28" t="n">
        <x:f>'Inputs'!F53</x:f>
        <x:v>1</x:v>
      </x:c>
      <x:c r="I108" s="42" t="n">
        <x:f>'Inputs'!G53</x:f>
        <x:v>0.12</x:v>
      </x:c>
      <x:c r="J108" s="35" t="n">
        <x:f>F108*$D$34+(1-F108)*$E$34</x:f>
        <x:v>2.6064999999999996</x:v>
      </x:c>
      <x:c r="K108" s="35" t="n">
        <x:f>J108^G108-1</x:f>
        <x:v>1.1520194065680194</x:v>
      </x:c>
      <x:c r="L108" s="35" t="n">
        <x:f>K108</x:f>
        <x:v>1.1520194065680194</x:v>
      </x:c>
      <x:c r="M108" s="35" t="n">
        <x:f>0</x:f>
        <x:v>0</x:v>
      </x:c>
      <x:c r="N108" s="43" t="n">
        <x:f>IF(E108=0,1,1+SUM(L108:M108)*H108)</x:f>
        <x:v>2.1520194065680194</x:v>
      </x:c>
      <x:c r="O108" s="43" t="n">
        <x:f>IF(E108=0,1,1+I108*(N108-1))</x:f>
        <x:v>1.1382423287881622</x:v>
      </x:c>
      <x:c r="P108" s="35" t="n">
        <x:f>IF(E108=0,0,E108*I108)</x:f>
        <x:v>0.039999999999999994</x:v>
      </x:c>
      <x:c r="Q108" s="35" t="n">
        <x:f>P108*N108</x:f>
        <x:v>0.08608077626272076</x:v>
      </x:c>
      <x:c r="R108" s="60" t="n">
        <x:f>E108*(O108-1)</x:f>
        <x:v>0.04608077626272074</x:v>
      </x:c>
    </x:row>
    <x:row r="109" ht="35" customHeight="1">
      <x:c r="C109" s="61" t="str">
        <x:v>Cell-data / perturbation factory</x:v>
      </x:c>
      <x:c r="D109" s="40" t="str">
        <x:v>Protein &amp; functional assays</x:v>
      </x:c>
      <x:c r="E109" s="42" t="n">
        <x:f>IF('Inputs'!$D$5=4,'Inputs'!E101,IF('Inputs'!$D$5=2,1,0))</x:f>
        <x:v>0.3333333333333333</x:v>
      </x:c>
      <x:c r="F109" s="42" t="n">
        <x:f>'Inputs'!D54</x:f>
        <x:v>0.05</x:v>
      </x:c>
      <x:c r="G109" s="28" t="n">
        <x:f>'Inputs'!E54</x:f>
        <x:v>0.65</x:v>
      </x:c>
      <x:c r="H109" s="28" t="n">
        <x:f>'Inputs'!F54</x:f>
        <x:v>1</x:v>
      </x:c>
      <x:c r="I109" s="42" t="n">
        <x:f>'Inputs'!G54</x:f>
        <x:v>0.12</x:v>
      </x:c>
      <x:c r="J109" s="35" t="n">
        <x:f>F109*$D$34+(1-F109)*$E$34</x:f>
        <x:v>2.73145</x:v>
      </x:c>
      <x:c r="K109" s="35" t="n">
        <x:f>J109^G109-1</x:f>
        <x:v>0.9215673716588269</x:v>
      </x:c>
      <x:c r="L109" s="35" t="n">
        <x:f>K109</x:f>
        <x:v>0.9215673716588269</x:v>
      </x:c>
      <x:c r="M109" s="35" t="n">
        <x:f>0</x:f>
        <x:v>0</x:v>
      </x:c>
      <x:c r="N109" s="43" t="n">
        <x:f>IF(E109=0,1,1+SUM(L109:M109)*H109)</x:f>
        <x:v>1.9215673716588269</x:v>
      </x:c>
      <x:c r="O109" s="43" t="n">
        <x:f>IF(E109=0,1,1+I109*(N109-1))</x:f>
        <x:v>1.1105880845990592</x:v>
      </x:c>
      <x:c r="P109" s="35" t="n">
        <x:f>IF(E109=0,0,E109*I109)</x:f>
        <x:v>0.039999999999999994</x:v>
      </x:c>
      <x:c r="Q109" s="35" t="n">
        <x:f>P109*N109</x:f>
        <x:v>0.07686269486635307</x:v>
      </x:c>
      <x:c r="R109" s="60" t="n">
        <x:f>E109*(O109-1)</x:f>
        <x:v>0.036862694866353074</x:v>
      </x:c>
    </x:row>
    <x:row r="110" ht="35" customHeight="1">
      <x:c r="C110" s="61" t="str">
        <x:v>Cell-data / perturbation factory</x:v>
      </x:c>
      <x:c r="D110" s="40" t="str">
        <x:v>Cells &amp; culture systems</x:v>
      </x:c>
      <x:c r="E110" s="42" t="n">
        <x:f>IF('Inputs'!$D$5=4,'Inputs'!E101,IF('Inputs'!$D$5=2,1,0))</x:f>
        <x:v>0.3333333333333333</x:v>
      </x:c>
      <x:c r="F110" s="42" t="n">
        <x:f>'Inputs'!D55</x:f>
        <x:v>0.05</x:v>
      </x:c>
      <x:c r="G110" s="28" t="n">
        <x:f>'Inputs'!E55</x:f>
        <x:v>1.05</x:v>
      </x:c>
      <x:c r="H110" s="28" t="n">
        <x:f>'Inputs'!F55</x:f>
        <x:v>1</x:v>
      </x:c>
      <x:c r="I110" s="42" t="n">
        <x:f>'Inputs'!G55</x:f>
        <x:v>0.25</x:v>
      </x:c>
      <x:c r="J110" s="35" t="n">
        <x:f>F110*$D$34+(1-F110)*$E$34</x:f>
        <x:v>2.73145</x:v>
      </x:c>
      <x:c r="K110" s="35" t="n">
        <x:f>J110^G110-1</x:f>
        <x:v>1.8721883597648543</x:v>
      </x:c>
      <x:c r="L110" s="35" t="n">
        <x:f>K110</x:f>
        <x:v>1.8721883597648543</x:v>
      </x:c>
      <x:c r="M110" s="35" t="n">
        <x:f>0</x:f>
        <x:v>0</x:v>
      </x:c>
      <x:c r="N110" s="43" t="n">
        <x:f>IF(E110=0,1,1+SUM(L110:M110)*H110)</x:f>
        <x:v>2.8721883597648543</x:v>
      </x:c>
      <x:c r="O110" s="43" t="n">
        <x:f>IF(E110=0,1,1+I110*(N110-1))</x:f>
        <x:v>1.4680470899412135</x:v>
      </x:c>
      <x:c r="P110" s="35" t="n">
        <x:f>IF(E110=0,0,E110*I110)</x:f>
        <x:v>0.08333333333333333</x:v>
      </x:c>
      <x:c r="Q110" s="35" t="n">
        <x:f>P110*N110</x:f>
        <x:v>0.23934902998040453</x:v>
      </x:c>
      <x:c r="R110" s="60" t="n">
        <x:f>E110*(O110-1)</x:f>
        <x:v>0.15601569664707116</x:v>
      </x:c>
    </x:row>
    <x:row r="111" ht="35" customHeight="1">
      <x:c r="C111" s="61" t="str">
        <x:v>Cell-data / perturbation factory</x:v>
      </x:c>
      <x:c r="D111" s="40" t="str">
        <x:v>Labware &amp; sample handling</x:v>
      </x:c>
      <x:c r="E111" s="42" t="n">
        <x:f>IF('Inputs'!$D$5=4,'Inputs'!E101,IF('Inputs'!$D$5=2,1,0))</x:f>
        <x:v>0.3333333333333333</x:v>
      </x:c>
      <x:c r="F111" s="42" t="n">
        <x:f>'Inputs'!D56</x:f>
        <x:v>0.2</x:v>
      </x:c>
      <x:c r="G111" s="28" t="n">
        <x:f>'Inputs'!E56</x:f>
        <x:v>0.45</x:v>
      </x:c>
      <x:c r="H111" s="28" t="n">
        <x:f>'Inputs'!F56</x:f>
        <x:v>1</x:v>
      </x:c>
      <x:c r="I111" s="42" t="n">
        <x:f>'Inputs'!G56</x:f>
        <x:v>0.12</x:v>
      </x:c>
      <x:c r="J111" s="35" t="n">
        <x:f>F111*$D$34+(1-F111)*$E$34</x:f>
        <x:v>2.7046750000000004</x:v>
      </x:c>
      <x:c r="K111" s="35" t="n">
        <x:f>J111^G111-1</x:f>
        <x:v>0.5647746041971597</x:v>
      </x:c>
      <x:c r="L111" s="35" t="n">
        <x:f>K111</x:f>
        <x:v>0.5647746041971597</x:v>
      </x:c>
      <x:c r="M111" s="35" t="n">
        <x:f>0</x:f>
        <x:v>0</x:v>
      </x:c>
      <x:c r="N111" s="43" t="n">
        <x:f>IF(E111=0,1,1+SUM(L111:M111)*H111)</x:f>
        <x:v>1.5647746041971597</x:v>
      </x:c>
      <x:c r="O111" s="43" t="n">
        <x:f>IF(E111=0,1,1+I111*(N111-1))</x:f>
        <x:v>1.0677729525036592</x:v>
      </x:c>
      <x:c r="P111" s="35" t="n">
        <x:f>IF(E111=0,0,E111*I111)</x:f>
        <x:v>0.039999999999999994</x:v>
      </x:c>
      <x:c r="Q111" s="35" t="n">
        <x:f>P111*N111</x:f>
        <x:v>0.06259098416788637</x:v>
      </x:c>
      <x:c r="R111" s="60" t="n">
        <x:f>E111*(O111-1)</x:f>
        <x:v>0.022590984167886408</x:v>
      </x:c>
    </x:row>
    <x:row r="112" ht="35" customHeight="1">
      <x:c r="C112" s="61" t="str">
        <x:v>Cell-data / perturbation factory</x:v>
      </x:c>
      <x:c r="D112" s="40" t="str">
        <x:v>Measurement &amp; analytics</x:v>
      </x:c>
      <x:c r="E112" s="42" t="n">
        <x:f>IF('Inputs'!$D$5=4,'Inputs'!E101,IF('Inputs'!$D$5=2,1,0))</x:f>
        <x:v>0.3333333333333333</x:v>
      </x:c>
      <x:c r="F112" s="42" t="n">
        <x:f>'Inputs'!D57</x:f>
        <x:v>0.02</x:v>
      </x:c>
      <x:c r="G112" s="28" t="n">
        <x:f>'Inputs'!E57</x:f>
        <x:v>1</x:v>
      </x:c>
      <x:c r="H112" s="28" t="n">
        <x:f>'Inputs'!F57</x:f>
        <x:v>1</x:v>
      </x:c>
      <x:c r="I112" s="42" t="n">
        <x:f>'Inputs'!G57</x:f>
        <x:v>0.2</x:v>
      </x:c>
      <x:c r="J112" s="35" t="n">
        <x:f>F112*$D$34+(1-F112)*$E$34</x:f>
        <x:v>2.7368050000000004</x:v>
      </x:c>
      <x:c r="K112" s="35" t="n">
        <x:f>J112^G112-1</x:f>
        <x:v>1.7368050000000004</x:v>
      </x:c>
      <x:c r="L112" s="35" t="n">
        <x:f>K112</x:f>
        <x:v>1.7368050000000004</x:v>
      </x:c>
      <x:c r="M112" s="35" t="n">
        <x:f>0</x:f>
        <x:v>0</x:v>
      </x:c>
      <x:c r="N112" s="43" t="n">
        <x:f>IF(E112=0,1,1+SUM(L112:M112)*H112)</x:f>
        <x:v>2.7368050000000004</x:v>
      </x:c>
      <x:c r="O112" s="43" t="n">
        <x:f>IF(E112=0,1,1+I112*(N112-1))</x:f>
        <x:v>1.347361</x:v>
      </x:c>
      <x:c r="P112" s="35" t="n">
        <x:f>IF(E112=0,0,E112*I112)</x:f>
        <x:v>0.06666666666666667</x:v>
      </x:c>
      <x:c r="Q112" s="35" t="n">
        <x:f>P112*N112</x:f>
        <x:v>0.18245366666666668</x:v>
      </x:c>
      <x:c r="R112" s="60" t="n">
        <x:f>E112*(O112-1)</x:f>
        <x:v>0.115787</x:v>
      </x:c>
    </x:row>
    <x:row r="113" ht="35" customHeight="1">
      <x:c r="C113" s="61" t="str">
        <x:v>Cell-data / perturbation factory</x:v>
      </x:c>
      <x:c r="D113" s="40" t="str">
        <x:v>Purification &amp; scale-up</x:v>
      </x:c>
      <x:c r="E113" s="42" t="n">
        <x:f>IF('Inputs'!$D$5=4,'Inputs'!E101,IF('Inputs'!$D$5=2,1,0))</x:f>
        <x:v>0.3333333333333333</x:v>
      </x:c>
      <x:c r="F113" s="42" t="n">
        <x:f>'Inputs'!D58</x:f>
        <x:v>0.45</x:v>
      </x:c>
      <x:c r="G113" s="28" t="n">
        <x:f>'Inputs'!E58</x:f>
        <x:v>0.3</x:v>
      </x:c>
      <x:c r="H113" s="28" t="n">
        <x:f>'Inputs'!F58</x:f>
        <x:v>1</x:v>
      </x:c>
      <x:c r="I113" s="42" t="n">
        <x:f>'Inputs'!G58</x:f>
        <x:v>0.04</x:v>
      </x:c>
      <x:c r="J113" s="35" t="n">
        <x:f>F113*$D$34+(1-F113)*$E$34</x:f>
        <x:v>2.66005</x:v>
      </x:c>
      <x:c r="K113" s="35" t="n">
        <x:f>J113^G113-1</x:f>
        <x:v>0.3411178409705482</x:v>
      </x:c>
      <x:c r="L113" s="28" t="n">
        <x:f>'Inputs'!$D$22*K113</x:f>
        <x:v>0.11939124433969187</x:v>
      </x:c>
      <x:c r="M113" s="28" t="n">
        <x:f>(1-'Inputs'!$D$22)*'Inputs'!$D$23*(J113^'Inputs'!$D$26-1)</x:f>
        <x:v>0</x:v>
      </x:c>
      <x:c r="N113" s="43" t="n">
        <x:f>IF(E113=0,1,1+SUM(L113:M113)*H113)</x:f>
        <x:v>1.1193912443396918</x:v>
      </x:c>
      <x:c r="O113" s="43" t="n">
        <x:f>IF(E113=0,1,1+I113*(N113-1))</x:f>
        <x:v>1.0047756497735876</x:v>
      </x:c>
      <x:c r="P113" s="35" t="n">
        <x:f>IF(E113=0,0,E113*I113)</x:f>
        <x:v>0.013333333333333332</x:v>
      </x:c>
      <x:c r="Q113" s="35" t="n">
        <x:f>P113*N113</x:f>
        <x:v>0.01492521659119589</x:v>
      </x:c>
      <x:c r="R113" s="60" t="n">
        <x:f>E113*(O113-1)</x:f>
        <x:v>0.0015918832578625253</x:v>
      </x:c>
    </x:row>
    <x:row r="114" ht="35" customHeight="1">
      <x:c r="C114" s="61" t="str">
        <x:v>Small-molecule discovery</x:v>
      </x:c>
      <x:c r="D114" s="40" t="str">
        <x:v>Molecular construction</x:v>
      </x:c>
      <x:c r="E114" s="42" t="n">
        <x:f>IF('Inputs'!$D$5=4,'Inputs'!E102,IF('Inputs'!$D$5=3,1,0))</x:f>
        <x:v>0.3333333333333333</x:v>
      </x:c>
      <x:c r="F114" s="42" t="n">
        <x:f>'Inputs'!D63</x:f>
        <x:v>1</x:v>
      </x:c>
      <x:c r="G114" s="28" t="n">
        <x:f>'Inputs'!E63</x:f>
        <x:v>0.6</x:v>
      </x:c>
      <x:c r="H114" s="28" t="n">
        <x:f>'Inputs'!F63</x:f>
        <x:v>1</x:v>
      </x:c>
      <x:c r="I114" s="42" t="n">
        <x:f>'Inputs'!G63</x:f>
        <x:v>0.12</x:v>
      </x:c>
      <x:c r="J114" s="35" t="n">
        <x:f>F114*$D$34+(1-F114)*$E$34</x:f>
        <x:v>2.5618749999999997</x:v>
      </x:c>
      <x:c r="K114" s="35" t="n">
        <x:f>J114^G114-1</x:f>
        <x:v>0.7584691815622078</x:v>
      </x:c>
      <x:c r="L114" s="35" t="n">
        <x:f>K114</x:f>
        <x:v>0.7584691815622078</x:v>
      </x:c>
      <x:c r="M114" s="35" t="n">
        <x:f>0</x:f>
        <x:v>0</x:v>
      </x:c>
      <x:c r="N114" s="43" t="n">
        <x:f>IF(E114=0,1,1+SUM(L114:M114)*H114)</x:f>
        <x:v>1.7584691815622078</x:v>
      </x:c>
      <x:c r="O114" s="43" t="n">
        <x:f>IF(E114=0,1,1+I114*(N114-1))</x:f>
        <x:v>1.091016301787465</x:v>
      </x:c>
      <x:c r="P114" s="35" t="n">
        <x:f>IF(E114=0,0,E114*I114)</x:f>
        <x:v>0.039999999999999994</x:v>
      </x:c>
      <x:c r="Q114" s="35" t="n">
        <x:f>P114*N114</x:f>
        <x:v>0.0703387672624883</x:v>
      </x:c>
      <x:c r="R114" s="60" t="n">
        <x:f>E114*(O114-1)</x:f>
        <x:v>0.030338767262488332</x:v>
      </x:c>
    </x:row>
    <x:row r="115" ht="35" customHeight="1">
      <x:c r="C115" s="61" t="str">
        <x:v>Small-molecule discovery</x:v>
      </x:c>
      <x:c r="D115" s="40" t="str">
        <x:v>Protein &amp; functional assays</x:v>
      </x:c>
      <x:c r="E115" s="42" t="n">
        <x:f>IF('Inputs'!$D$5=4,'Inputs'!E102,IF('Inputs'!$D$5=3,1,0))</x:f>
        <x:v>0.3333333333333333</x:v>
      </x:c>
      <x:c r="F115" s="42" t="n">
        <x:f>'Inputs'!D64</x:f>
        <x:v>0.1</x:v>
      </x:c>
      <x:c r="G115" s="28" t="n">
        <x:f>'Inputs'!E64</x:f>
        <x:v>0.45</x:v>
      </x:c>
      <x:c r="H115" s="28" t="n">
        <x:f>'Inputs'!F64</x:f>
        <x:v>1</x:v>
      </x:c>
      <x:c r="I115" s="42" t="n">
        <x:f>'Inputs'!G64</x:f>
        <x:v>0.08</x:v>
      </x:c>
      <x:c r="J115" s="35" t="n">
        <x:f>F115*$D$34+(1-F115)*$E$34</x:f>
        <x:v>2.722525</x:v>
      </x:c>
      <x:c r="K115" s="35" t="n">
        <x:f>J115^G115-1</x:f>
        <x:v>0.5694133566276891</x:v>
      </x:c>
      <x:c r="L115" s="35" t="n">
        <x:f>K115</x:f>
        <x:v>0.5694133566276891</x:v>
      </x:c>
      <x:c r="M115" s="35" t="n">
        <x:f>0</x:f>
        <x:v>0</x:v>
      </x:c>
      <x:c r="N115" s="43" t="n">
        <x:f>IF(E115=0,1,1+SUM(L115:M115)*H115)</x:f>
        <x:v>1.569413356627689</x:v>
      </x:c>
      <x:c r="O115" s="43" t="n">
        <x:f>IF(E115=0,1,1+I115*(N115-1))</x:f>
        <x:v>1.0455530685302152</x:v>
      </x:c>
      <x:c r="P115" s="35" t="n">
        <x:f>IF(E115=0,0,E115*I115)</x:f>
        <x:v>0.026666666666666665</x:v>
      </x:c>
      <x:c r="Q115" s="35" t="n">
        <x:f>P115*N115</x:f>
        <x:v>0.04185102284340504</x:v>
      </x:c>
      <x:c r="R115" s="60" t="n">
        <x:f>E115*(O115-1)</x:f>
        <x:v>0.015184356176738412</x:v>
      </x:c>
    </x:row>
    <x:row r="116" ht="35" customHeight="1">
      <x:c r="C116" s="61" t="str">
        <x:v>Small-molecule discovery</x:v>
      </x:c>
      <x:c r="D116" s="40" t="str">
        <x:v>Cells &amp; culture systems</x:v>
      </x:c>
      <x:c r="E116" s="42" t="n">
        <x:f>IF('Inputs'!$D$5=4,'Inputs'!E102,IF('Inputs'!$D$5=3,1,0))</x:f>
        <x:v>0.3333333333333333</x:v>
      </x:c>
      <x:c r="F116" s="42" t="n">
        <x:f>'Inputs'!D65</x:f>
        <x:v>0.05</x:v>
      </x:c>
      <x:c r="G116" s="28" t="n">
        <x:f>'Inputs'!E65</x:f>
        <x:v>0.8</x:v>
      </x:c>
      <x:c r="H116" s="28" t="n">
        <x:f>'Inputs'!F65</x:f>
        <x:v>1</x:v>
      </x:c>
      <x:c r="I116" s="42" t="n">
        <x:f>'Inputs'!G65</x:f>
        <x:v>0.12</x:v>
      </x:c>
      <x:c r="J116" s="35" t="n">
        <x:f>F116*$D$34+(1-F116)*$E$34</x:f>
        <x:v>2.73145</x:v>
      </x:c>
      <x:c r="K116" s="35" t="n">
        <x:f>J116^G116-1</x:f>
        <x:v>1.234161707985042</x:v>
      </x:c>
      <x:c r="L116" s="35" t="n">
        <x:f>K116</x:f>
        <x:v>1.234161707985042</x:v>
      </x:c>
      <x:c r="M116" s="35" t="n">
        <x:f>0</x:f>
        <x:v>0</x:v>
      </x:c>
      <x:c r="N116" s="43" t="n">
        <x:f>IF(E116=0,1,1+SUM(L116:M116)*H116)</x:f>
        <x:v>2.234161707985042</x:v>
      </x:c>
      <x:c r="O116" s="43" t="n">
        <x:f>IF(E116=0,1,1+I116*(N116-1))</x:f>
        <x:v>1.148099404958205</x:v>
      </x:c>
      <x:c r="P116" s="35" t="n">
        <x:f>IF(E116=0,0,E116*I116)</x:f>
        <x:v>0.039999999999999994</x:v>
      </x:c>
      <x:c r="Q116" s="35" t="n">
        <x:f>P116*N116</x:f>
        <x:v>0.08936646831940166</x:v>
      </x:c>
      <x:c r="R116" s="60" t="n">
        <x:f>E116*(O116-1)</x:f>
        <x:v>0.04936646831940165</x:v>
      </x:c>
    </x:row>
    <x:row r="117" ht="35" customHeight="1">
      <x:c r="C117" s="61" t="str">
        <x:v>Small-molecule discovery</x:v>
      </x:c>
      <x:c r="D117" s="40" t="str">
        <x:v>Labware &amp; sample handling</x:v>
      </x:c>
      <x:c r="E117" s="42" t="n">
        <x:f>IF('Inputs'!$D$5=4,'Inputs'!E102,IF('Inputs'!$D$5=3,1,0))</x:f>
        <x:v>0.3333333333333333</x:v>
      </x:c>
      <x:c r="F117" s="42" t="n">
        <x:f>'Inputs'!D66</x:f>
        <x:v>0.3</x:v>
      </x:c>
      <x:c r="G117" s="28" t="n">
        <x:f>'Inputs'!E66</x:f>
        <x:v>0.3</x:v>
      </x:c>
      <x:c r="H117" s="28" t="n">
        <x:f>'Inputs'!F66</x:f>
        <x:v>1</x:v>
      </x:c>
      <x:c r="I117" s="42" t="n">
        <x:f>'Inputs'!G66</x:f>
        <x:v>0.08</x:v>
      </x:c>
      <x:c r="J117" s="35" t="n">
        <x:f>F117*$D$34+(1-F117)*$E$34</x:f>
        <x:v>2.686825</x:v>
      </x:c>
      <x:c r="K117" s="35" t="n">
        <x:f>J117^G117-1</x:f>
        <x:v>0.34515340153341567</x:v>
      </x:c>
      <x:c r="L117" s="35" t="n">
        <x:f>K117</x:f>
        <x:v>0.34515340153341567</x:v>
      </x:c>
      <x:c r="M117" s="35" t="n">
        <x:f>0</x:f>
        <x:v>0</x:v>
      </x:c>
      <x:c r="N117" s="43" t="n">
        <x:f>IF(E117=0,1,1+SUM(L117:M117)*H117)</x:f>
        <x:v>1.3451534015334157</x:v>
      </x:c>
      <x:c r="O117" s="43" t="n">
        <x:f>IF(E117=0,1,1+I117*(N117-1))</x:f>
        <x:v>1.0276122721226733</x:v>
      </x:c>
      <x:c r="P117" s="35" t="n">
        <x:f>IF(E117=0,0,E117*I117)</x:f>
        <x:v>0.026666666666666665</x:v>
      </x:c>
      <x:c r="Q117" s="35" t="n">
        <x:f>P117*N117</x:f>
        <x:v>0.03587075737422442</x:v>
      </x:c>
      <x:c r="R117" s="60" t="n">
        <x:f>E117*(O117-1)</x:f>
        <x:v>0.00920409070755775</x:v>
      </x:c>
    </x:row>
    <x:row r="118" ht="35" customHeight="1">
      <x:c r="C118" s="61" t="str">
        <x:v>Small-molecule discovery</x:v>
      </x:c>
      <x:c r="D118" s="40" t="str">
        <x:v>Measurement &amp; analytics</x:v>
      </x:c>
      <x:c r="E118" s="42" t="n">
        <x:f>IF('Inputs'!$D$5=4,'Inputs'!E102,IF('Inputs'!$D$5=3,1,0))</x:f>
        <x:v>0.3333333333333333</x:v>
      </x:c>
      <x:c r="F118" s="42" t="n">
        <x:f>'Inputs'!D67</x:f>
        <x:v>0.1</x:v>
      </x:c>
      <x:c r="G118" s="28" t="n">
        <x:f>'Inputs'!E67</x:f>
        <x:v>0.8</x:v>
      </x:c>
      <x:c r="H118" s="28" t="n">
        <x:f>'Inputs'!F67</x:f>
        <x:v>1</x:v>
      </x:c>
      <x:c r="I118" s="42" t="n">
        <x:f>'Inputs'!G67</x:f>
        <x:v>0.12</x:v>
      </x:c>
      <x:c r="J118" s="35" t="n">
        <x:f>F118*$D$34+(1-F118)*$E$34</x:f>
        <x:v>2.722525</x:v>
      </x:c>
      <x:c r="K118" s="35" t="n">
        <x:f>J118^G118-1</x:f>
        <x:v>1.2283197069598364</x:v>
      </x:c>
      <x:c r="L118" s="35" t="n">
        <x:f>K118</x:f>
        <x:v>1.2283197069598364</x:v>
      </x:c>
      <x:c r="M118" s="35" t="n">
        <x:f>0</x:f>
        <x:v>0</x:v>
      </x:c>
      <x:c r="N118" s="43" t="n">
        <x:f>IF(E118=0,1,1+SUM(L118:M118)*H118)</x:f>
        <x:v>2.2283197069598364</x:v>
      </x:c>
      <x:c r="O118" s="43" t="n">
        <x:f>IF(E118=0,1,1+I118*(N118-1))</x:f>
        <x:v>1.1473983648351804</x:v>
      </x:c>
      <x:c r="P118" s="35" t="n">
        <x:f>IF(E118=0,0,E118*I118)</x:f>
        <x:v>0.039999999999999994</x:v>
      </x:c>
      <x:c r="Q118" s="35" t="n">
        <x:f>P118*N118</x:f>
        <x:v>0.08913278827839344</x:v>
      </x:c>
      <x:c r="R118" s="60" t="n">
        <x:f>E118*(O118-1)</x:f>
        <x:v>0.04913278827839347</x:v>
      </x:c>
    </x:row>
    <x:row r="119" ht="35" customHeight="1">
      <x:c r="C119" s="61" t="str">
        <x:v>Small-molecule discovery</x:v>
      </x:c>
      <x:c r="D119" s="40" t="str">
        <x:v>Purification &amp; scale-up</x:v>
      </x:c>
      <x:c r="E119" s="42" t="n">
        <x:f>IF('Inputs'!$D$5=4,'Inputs'!E102,IF('Inputs'!$D$5=3,1,0))</x:f>
        <x:v>0.3333333333333333</x:v>
      </x:c>
      <x:c r="F119" s="42" t="n">
        <x:f>'Inputs'!D68</x:f>
        <x:v>0.65</x:v>
      </x:c>
      <x:c r="G119" s="28" t="n">
        <x:f>'Inputs'!E68</x:f>
        <x:v>0.4</x:v>
      </x:c>
      <x:c r="H119" s="28" t="n">
        <x:f>'Inputs'!F68</x:f>
        <x:v>1</x:v>
      </x:c>
      <x:c r="I119" s="42" t="n">
        <x:f>'Inputs'!G68</x:f>
        <x:v>0.06</x:v>
      </x:c>
      <x:c r="J119" s="35" t="n">
        <x:f>F119*$D$34+(1-F119)*$E$34</x:f>
        <x:v>2.6243499999999997</x:v>
      </x:c>
      <x:c r="K119" s="35" t="n">
        <x:f>J119^G119-1</x:f>
        <x:v>0.4709865505820132</x:v>
      </x:c>
      <x:c r="L119" s="28" t="n">
        <x:f>'Inputs'!$D$22*K119</x:f>
        <x:v>0.16484529270370463</x:v>
      </x:c>
      <x:c r="M119" s="28" t="n">
        <x:f>(1-'Inputs'!$D$22)*'Inputs'!$D$23*(J119^'Inputs'!$D$26-1)</x:f>
        <x:v>0</x:v>
      </x:c>
      <x:c r="N119" s="43" t="n">
        <x:f>IF(E119=0,1,1+SUM(L119:M119)*H119)</x:f>
        <x:v>1.1648452927037045</x:v>
      </x:c>
      <x:c r="O119" s="43" t="n">
        <x:f>IF(E119=0,1,1+I119*(N119-1))</x:f>
        <x:v>1.0098907175622223</x:v>
      </x:c>
      <x:c r="P119" s="35" t="n">
        <x:f>IF(E119=0,0,E119*I119)</x:f>
        <x:v>0.019999999999999997</x:v>
      </x:c>
      <x:c r="Q119" s="35" t="n">
        <x:f>P119*N119</x:f>
        <x:v>0.023296905854074085</x:v>
      </x:c>
      <x:c r="R119" s="60" t="n">
        <x:f>E119*(O119-1)</x:f>
        <x:v>0.003296905854074087</x:v>
      </x:c>
    </x:row>
    <x:row r="120" ht="23" customHeight="1">
      <x:c r="C120" s="2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</x:row>
    <x:row r="121" ht="23" customHeight="1">
      <x:c r="C121" s="2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</x:row>
    <x:row r="122" ht="23" customHeight="1">
      <x:c r="C122" s="2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</x:row>
    <x:row r="123" ht="25" customHeight="1">
      <x:c r="C123" s="33" t="str">
        <x:v>Conservation of the same funding pool and reference cohort</x:v>
      </x:c>
      <x:c r="D123" s="34"/>
      <x:c r="E123" s="34"/>
      <x:c r="F123" s="34"/>
      <x:c r="G123" s="34"/>
      <x:c r="H123" s="34"/>
      <x:c r="I123" s="4"/>
      <x:c r="J123" s="4"/>
      <x:c r="K123" s="4"/>
      <x:c r="L123" s="4"/>
      <x:c r="M123" s="4"/>
      <x:c r="N123" s="4"/>
      <x:c r="O123" s="4"/>
      <x:c r="P123" s="4"/>
      <x:c r="Q123" s="4"/>
    </x:row>
    <x:row r="124" ht="32" customHeight="1">
      <x:c r="C124" s="18" t="str">
        <x:v>Workflow</x:v>
      </x:c>
      <x:c r="D124" s="19" t="str">
        <x:v>Mix</x:v>
      </x:c>
      <x:c r="E124" s="19" t="str">
        <x:v>Funding (US$bn)</x:v>
      </x:c>
      <x:c r="F124" s="19" t="str">
        <x:v>Build stock</x:v>
      </x:c>
      <x:c r="G124" s="19" t="str">
        <x:v>Test stock</x:v>
      </x:c>
      <x:c r="H124" s="19" t="str">
        <x:v>Annual lab costs</x:v>
      </x:c>
      <x:c r="I124" s="4"/>
      <x:c r="J124" s="4"/>
      <x:c r="K124" s="4"/>
      <x:c r="L124" s="4"/>
      <x:c r="M124" s="4"/>
      <x:c r="N124" s="4"/>
      <x:c r="O124" s="4"/>
      <x:c r="P124" s="4"/>
      <x:c r="Q124" s="4"/>
    </x:row>
    <x:row r="125" ht="23" customHeight="1">
      <x:c r="C125" s="2" t="str">
        <x:v>Protein / antibody discovery</x:v>
      </x:c>
      <x:c r="D125" s="35" t="n">
        <x:f>E102</x:f>
        <x:v>0.3333333333333333</x:v>
      </x:c>
      <x:c r="E125" s="35" t="n">
        <x:f>D125*$D$8</x:f>
        <x:v>16.666666666666664</x:v>
      </x:c>
      <x:c r="F125" s="35" t="n">
        <x:f>D125*$D$27</x:f>
        <x:v>0.5</x:v>
      </x:c>
      <x:c r="G125" s="35" t="n">
        <x:f>D125*$E$27</x:f>
        <x:v>0.8333333333333333</x:v>
      </x:c>
      <x:c r="H125" s="35" t="n">
        <x:f>D125*SUM($D$28:$E$28)</x:f>
        <x:v>0.3</x:v>
      </x:c>
      <x:c r="I125" s="4"/>
      <x:c r="J125" s="4"/>
      <x:c r="K125" s="4"/>
      <x:c r="L125" s="4"/>
      <x:c r="M125" s="4"/>
      <x:c r="N125" s="4"/>
      <x:c r="O125" s="4"/>
      <x:c r="P125" s="4"/>
      <x:c r="Q125" s="4"/>
    </x:row>
    <x:row r="126" ht="23" customHeight="1">
      <x:c r="C126" s="2" t="str">
        <x:v>Cell-data / perturbation factory</x:v>
      </x:c>
      <x:c r="D126" s="35" t="n">
        <x:f>E108</x:f>
        <x:v>0.3333333333333333</x:v>
      </x:c>
      <x:c r="E126" s="35" t="n">
        <x:f>D126*$D$8</x:f>
        <x:v>16.666666666666664</x:v>
      </x:c>
      <x:c r="F126" s="35" t="n">
        <x:f>D126*$D$27</x:f>
        <x:v>0.5</x:v>
      </x:c>
      <x:c r="G126" s="35" t="n">
        <x:f>D126*$E$27</x:f>
        <x:v>0.8333333333333333</x:v>
      </x:c>
      <x:c r="H126" s="35" t="n">
        <x:f>D126*SUM($D$28:$E$28)</x:f>
        <x:v>0.3</x:v>
      </x:c>
      <x:c r="I126" s="4"/>
      <x:c r="J126" s="4"/>
      <x:c r="K126" s="4"/>
      <x:c r="L126" s="4"/>
      <x:c r="M126" s="4"/>
      <x:c r="N126" s="4"/>
      <x:c r="O126" s="4"/>
      <x:c r="P126" s="4"/>
      <x:c r="Q126" s="4"/>
    </x:row>
    <x:row r="127" ht="23" customHeight="1">
      <x:c r="C127" s="2" t="str">
        <x:v>Small-molecule discovery</x:v>
      </x:c>
      <x:c r="D127" s="35" t="n">
        <x:f>E114</x:f>
        <x:v>0.3333333333333333</x:v>
      </x:c>
      <x:c r="E127" s="35" t="n">
        <x:f>D127*$D$8</x:f>
        <x:v>16.666666666666664</x:v>
      </x:c>
      <x:c r="F127" s="35" t="n">
        <x:f>D127*$D$27</x:f>
        <x:v>0.5</x:v>
      </x:c>
      <x:c r="G127" s="35" t="n">
        <x:f>D127*$E$27</x:f>
        <x:v>0.8333333333333333</x:v>
      </x:c>
      <x:c r="H127" s="35" t="n">
        <x:f>D127*SUM($D$28:$E$28)</x:f>
        <x:v>0.3</x:v>
      </x:c>
      <x:c r="I127" s="4"/>
      <x:c r="J127" s="4"/>
      <x:c r="K127" s="4"/>
      <x:c r="L127" s="4"/>
      <x:c r="M127" s="4"/>
      <x:c r="N127" s="4"/>
      <x:c r="O127" s="4"/>
      <x:c r="P127" s="4"/>
      <x:c r="Q127" s="4"/>
    </x:row>
    <x:row r="128" ht="23" customHeight="1">
      <x:c r="C128" s="2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</x:row>
    <x:row r="129" ht="23" customHeight="1">
      <x:c r="C129" s="2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</x:row>
    <x:row r="130" ht="23" customHeight="1">
      <x:c r="C130" s="2" t="str">
        <x:v>The 1x cohort is split with funding. Common Build/Test and target backsolves are calculated once.</x:v>
      </x:c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</x:row>
    <x:row r="131" ht="23" customHeight="1">
      <x:c r="C131" s="2" t="str">
        <x:v>Total AI base A = sum(mix x exposure). AI purchases = sum(AI base x workflow purchases) / A.</x:v>
      </x:c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</x:row>
    <x:row r="132" ht="23" customHeight="1">
      <x:c r="C132" s="2" t="str">
        <x:v>Whole-family index = 1 + sum(mix x exposure x (workflow purchases - 1)).</x:v>
      </x:c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</x:row>
    <x:row r="133" ht="23" customHeight="1">
      <x:c r="C133" s="2" t="str">
        <x:v>Zero aggregate AI exposure: AI-lab multiple is n.a.; estimated whole-family uplift is zero.</x:v>
      </x:c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</x:row>
    <x:row r="134" ht="23" customHeight="1">
      <x:c r="C134" s="2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</x:row>
    <x:row r="135" ht="23" customHeight="1">
      <x:c r="C135" s="2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</x:row>
    <x:row r="136" ht="23" customHeight="1">
      <x:c r="C136" s="2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</x:row>
    <x:row r="137" ht="23" customHeight="1">
      <x:c r="C137" s="2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58" hidden="0" customWidth="1"/>
    <x:col min="4" max="4" width="18" hidden="0" customWidth="1"/>
    <x:col min="5" max="5" width="16" hidden="0" customWidth="1"/>
    <x:col min="6" max="6" width="20" hidden="0" customWidth="1"/>
    <x:col min="7" max="7" width="17" hidden="0" customWidth="1"/>
    <x:col min="8" max="8" width="17" hidden="0" customWidth="1"/>
    <x:col min="9" max="9" width="3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2" ht="23" customHeight="1">
      <x:c r="C2" s="71" t="str">
        <x:v>Model reconciliations</x:v>
      </x:c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</x:row>
    <x:row r="3" ht="23" customHeight="1">
      <x:c r="C3" s="73" t="str">
        <x:v>Differences use a 0.000000001 tolerance. These checks verify arithmetic, not empirical calibration.</x:v>
      </x:c>
      <x:c r="D3" s="73"/>
      <x:c r="E3" s="73"/>
      <x:c r="F3" s="73"/>
      <x:c r="G3" s="73"/>
      <x:c r="H3" s="73"/>
      <x:c r="I3" s="72"/>
      <x:c r="J3" s="72"/>
      <x:c r="K3" s="72"/>
      <x:c r="L3" s="72"/>
      <x:c r="M3" s="72"/>
      <x:c r="N3" s="72"/>
      <x:c r="O3" s="72"/>
      <x:c r="P3" s="72"/>
      <x:c r="Q3" s="72"/>
    </x:row>
    <x:row r="4" ht="23" customHeight="1">
      <x:c r="C4" s="74"/>
      <x:c r="D4" s="74"/>
      <x:c r="E4" s="74"/>
      <x:c r="F4" s="74"/>
      <x:c r="G4" s="74"/>
      <x:c r="H4" s="74"/>
      <x:c r="I4" s="72"/>
      <x:c r="J4" s="72"/>
      <x:c r="K4" s="72"/>
      <x:c r="L4" s="72"/>
      <x:c r="M4" s="72"/>
      <x:c r="N4" s="72"/>
      <x:c r="O4" s="72"/>
      <x:c r="P4" s="72"/>
      <x:c r="Q4" s="72"/>
    </x:row>
    <x:row r="5" ht="23" customHeight="1"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23" customHeight="1">
      <x:c r="C6" s="2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</x:row>
    <x:row r="7" ht="23" customHeight="1">
      <x:c r="C7" s="2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</x:row>
    <x:row r="8" ht="32" customHeight="1">
      <x:c r="C8" s="18" t="str">
        <x:v>Reconciliation</x:v>
      </x:c>
      <x:c r="D8" s="19" t="str">
        <x:v>Difference</x:v>
      </x:c>
      <x:c r="E8" s="19" t="str">
        <x:v>Units</x:v>
      </x:c>
      <x:c r="F8" s="19" t="str">
        <x:v>Status</x:v>
      </x:c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</x:row>
    <x:row r="9" ht="23" customHeight="1">
      <x:c r="C9" s="2" t="str">
        <x:v>Annual funding split</x:v>
      </x:c>
      <x:c r="D9" s="70" t="n">
        <x:f>'Calculations'!D10-SUM('Calculations'!D14,'Calculations'!D17)</x:f>
        <x:v>0</x:v>
      </x:c>
      <x:c r="E9" s="35" t="str">
        <x:v>US$bn/year</x:v>
      </x:c>
      <x:c r="F9" s="35" t="str">
        <x:f>IF(ISNUMBER(D9),IF(ABS(D9)&lt;0.000000001,"OK","CHECK"),"Not applicable")</x:f>
        <x:v>OK</x:v>
      </x:c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</x:row>
    <x:row r="10" ht="23" customHeight="1">
      <x:c r="C10" s="2" t="str">
        <x:v>Annual wet-lab funding split</x:v>
      </x:c>
      <x:c r="D10" s="70" t="n">
        <x:f>'Calculations'!D14-SUM('Calculations'!D15:D16)</x:f>
        <x:v>0</x:v>
      </x:c>
      <x:c r="E10" s="35" t="str">
        <x:v>US$bn/year</x:v>
      </x:c>
      <x:c r="F10" s="35" t="str">
        <x:f>IF(ISNUMBER(D10),IF(ABS(D10)&lt;0.000000001,"OK","CHECK"),"Not applicable")</x:f>
        <x:v>OK</x:v>
      </x:c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</x:row>
    <x:row r="11" ht="23" customHeight="1">
      <x:c r="C11" s="2" t="str">
        <x:v>Total deployed program funding</x:v>
      </x:c>
      <x:c r="D11" s="70" t="n">
        <x:f>'Inputs'!D10-'Calculations'!D10*'Inputs'!D11</x:f>
        <x:v>0</x:v>
      </x:c>
      <x:c r="E11" s="35" t="str">
        <x:v>US$bn</x:v>
      </x:c>
      <x:c r="F11" s="35" t="str">
        <x:f>IF(ISNUMBER(D11),IF(ABS(D11)&lt;0.000000001,"OK","CHECK"),"Not applicable")</x:f>
        <x:v>OK</x:v>
      </x:c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</x:row>
    <x:row r="12" ht="23" customHeight="1">
      <x:c r="C12" s="2" t="str">
        <x:v>Cumulative wet-lab stock and execution</x:v>
      </x:c>
      <x:c r="D12" s="70" t="n">
        <x:f>'Inputs'!D10*'Inputs'!D12-SUM('Calculations'!D18,'Calculations'!D16*'Inputs'!D11)</x:f>
        <x:v>0</x:v>
      </x:c>
      <x:c r="E12" s="35" t="str">
        <x:v>US$bn</x:v>
      </x:c>
      <x:c r="F12" s="35" t="str">
        <x:f>IF(ISNUMBER(D12),IF(ABS(D12)&lt;0.000000001,"OK","CHECK"),"Not applicable")</x:f>
        <x:v>OK</x:v>
      </x:c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</x:row>
    <x:row r="13" ht="23" customHeight="1">
      <x:c r="C13" s="2" t="str">
        <x:v>Commissioned equipment allocation</x:v>
      </x:c>
      <x:c r="D13" s="70" t="n">
        <x:f>'Calculations'!D21-SUM('Calculations'!D29:E29)</x:f>
        <x:v>0</x:v>
      </x:c>
      <x:c r="E13" s="35" t="str">
        <x:v>US$bn</x:v>
      </x:c>
      <x:c r="F13" s="35" t="str">
        <x:f>IF(ISNUMBER(D13),IF(ABS(D13)&lt;0.000000001,"OK","CHECK"),"Not applicable")</x:f>
        <x:v>OK</x:v>
      </x:c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</x:row>
    <x:row r="14" ht="23" customHeight="1">
      <x:c r="C14" s="2" t="str">
        <x:v>Annual lab execution allocation</x:v>
      </x:c>
      <x:c r="D14" s="70" t="n">
        <x:f>'Calculations'!D16-SUM('Calculations'!D30:E30)</x:f>
        <x:v>0</x:v>
      </x:c>
      <x:c r="E14" s="35" t="str">
        <x:v>US$bn/year</x:v>
      </x:c>
      <x:c r="F14" s="35" t="str">
        <x:f>IF(ISNUMBER(D14),IF(ABS(D14)&lt;0.000000001,"OK","CHECK"),"Not applicable")</x:f>
        <x:v>OK</x:v>
      </x:c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</x:row>
    <x:row r="15" ht="23" customHeight="1">
      <x:c r="C15" s="2" t="str">
        <x:v>Build raw throughput bridge</x:v>
      </x:c>
      <x:c r="D15" s="70" t="n">
        <x:f>'Calculations'!D33-1-'Inputs'!D19*'Inputs'!D20*MIN('Calculations'!D31:D32)</x:f>
        <x:v>0</x:v>
      </x:c>
      <x:c r="E15" s="35" t="str">
        <x:v>multiple</x:v>
      </x:c>
      <x:c r="F15" s="35" t="str">
        <x:f>IF(ISNUMBER(D15),IF(ABS(D15)&lt;0.000000001,"OK","CHECK"),"Not applicable")</x:f>
        <x:v>OK</x:v>
      </x:c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</x:row>
    <x:row r="16" ht="23" customHeight="1">
      <x:c r="C16" s="2" t="str">
        <x:v>Test raw throughput bridge</x:v>
      </x:c>
      <x:c r="D16" s="70" t="n">
        <x:f>'Calculations'!E33-1-'Inputs'!D19*'Inputs'!D20*MIN('Calculations'!E31:E32)</x:f>
        <x:v>0</x:v>
      </x:c>
      <x:c r="E16" s="35" t="str">
        <x:v>multiple</x:v>
      </x:c>
      <x:c r="F16" s="35" t="str">
        <x:f>IF(ISNUMBER(D16),IF(ABS(D16)&lt;0.000000001,"OK","CHECK"),"Not applicable")</x:f>
        <x:v>OK</x:v>
      </x:c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</x:row>
    <x:row r="17" ht="23" customHeight="1">
      <x:c r="C17" s="2" t="str">
        <x:v>Build endpoint equals ramp endpoint</x:v>
      </x:c>
      <x:c r="D17" s="70" t="n">
        <x:f>'Calculations'!D34-'Calculations'!I60</x:f>
        <x:v>0</x:v>
      </x:c>
      <x:c r="E17" s="35" t="str">
        <x:v>multiple</x:v>
      </x:c>
      <x:c r="F17" s="35" t="str">
        <x:f>IF(ISNUMBER(D17),IF(ABS(D17)&lt;0.000000001,"OK","CHECK"),"Not applicable")</x:f>
        <x:v>OK</x:v>
      </x:c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</x:row>
    <x:row r="18" ht="23" customHeight="1">
      <x:c r="C18" s="2" t="str">
        <x:v>Test endpoint equals ramp endpoint</x:v>
      </x:c>
      <x:c r="D18" s="70" t="n">
        <x:f>'Calculations'!E34-'Calculations'!I61</x:f>
        <x:v>0</x:v>
      </x:c>
      <x:c r="E18" s="35" t="str">
        <x:v>multiple</x:v>
      </x:c>
      <x:c r="F18" s="35" t="str">
        <x:f>IF(ISNUMBER(D18),IF(ABS(D18)&lt;0.000000001,"OK","CHECK"),"Not applicable")</x:f>
        <x:v>OK</x:v>
      </x:c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</x:row>
    <x:row r="19" ht="23" customHeight="1">
      <x:c r="C19" s="2" t="str">
        <x:v>Build/Test weights sum to 100%</x:v>
      </x:c>
      <x:c r="D19" s="70" t="n">
        <x:f>SUM('Calculations'!D26:E26)-1</x:f>
        <x:v>0</x:v>
      </x:c>
      <x:c r="E19" s="35" t="str">
        <x:v>fraction</x:v>
      </x:c>
      <x:c r="F19" s="35" t="str">
        <x:f>IF(ISNUMBER(D19),IF(ABS(D19)&lt;0.000000001,"OK","CHECK"),"Not applicable")</x:f>
        <x:v>OK</x:v>
      </x:c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</x:row>
    <x:row r="20" ht="23" customHeight="1">
      <x:c r="C20" s="2" t="str">
        <x:v>Both-stage 2x backsolve replay</x:v>
      </x:c>
      <x:c r="D20" s="70" t="n">
        <x:f>IF('Calculations'!$D$72,MIN(1+'Inputs'!D19*'Inputs'!D20*MIN('Calculations'!I68*'Inputs'!D12*'Inputs'!D13*(1-'Inputs'!D14)*'Calculations'!D20/'Inputs'!D15,'Calculations'!I68*'Inputs'!D12*(1-'Inputs'!D13)*(1-'Inputs'!D14)/('Inputs'!D11*'Inputs'!D17)),1+'Inputs'!D19*'Inputs'!D20*MIN('Calculations'!I68*'Inputs'!D12*'Inputs'!D13*'Inputs'!D14*'Calculations'!D20/'Inputs'!D16,'Calculations'!I68*'Inputs'!D12*(1-'Inputs'!D13)*'Inputs'!D14/('Inputs'!D11*'Inputs'!D18)))-'Inputs'!D24,"n.a.")</x:f>
        <x:v>0</x:v>
      </x:c>
      <x:c r="E20" s="35" t="str">
        <x:v>multiple</x:v>
      </x:c>
      <x:c r="F20" s="35" t="str">
        <x:f>IF(ISNUMBER(D20),IF(ABS(D20)&lt;0.000000001,"OK","CHECK"),"Not applicable")</x:f>
        <x:v>OK</x:v>
      </x:c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</x:row>
    <x:row r="21" ht="23" customHeight="1">
      <x:c r="C21" s="2" t="str">
        <x:v>Both-stage 10x backsolve replay</x:v>
      </x:c>
      <x:c r="D21" s="70" t="n">
        <x:f>IF('Calculations'!$D$72,MIN(1+'Inputs'!D19*'Inputs'!D20*MIN('Calculations'!I69*'Inputs'!D12*'Inputs'!D13*(1-'Inputs'!D14)*'Calculations'!D20/'Inputs'!D15,'Calculations'!I69*'Inputs'!D12*(1-'Inputs'!D13)*(1-'Inputs'!D14)/('Inputs'!D11*'Inputs'!D17)),1+'Inputs'!D19*'Inputs'!D20*MIN('Calculations'!I69*'Inputs'!D12*'Inputs'!D13*'Inputs'!D14*'Calculations'!D20/'Inputs'!D16,'Calculations'!I69*'Inputs'!D12*(1-'Inputs'!D13)*'Inputs'!D14/('Inputs'!D11*'Inputs'!D18)))-'Inputs'!D25,"n.a.")</x:f>
        <x:v>0</x:v>
      </x:c>
      <x:c r="E21" s="35" t="str">
        <x:v>multiple</x:v>
      </x:c>
      <x:c r="F21" s="35" t="str">
        <x:f>IF(ISNUMBER(D21),IF(ABS(D21)&lt;0.000000001,"OK","CHECK"),"Not applicable")</x:f>
        <x:v>OK</x:v>
      </x:c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</x:row>
    <x:row r="22" ht="23" customHeight="1">
      <x:c r="C22" s="2" t="str">
        <x:v>Molecular whole-family dilution</x:v>
      </x:c>
      <x:c r="D22" s="70" t="n">
        <x:f>IF(ISNUMBER('Calculations'!L45),'Calculations'!M45-1-'Calculations'!G45*('Calculations'!L45-1),IF('Calculations'!M45=1,0,1))</x:f>
        <x:v>5.551115123125783e-17</x:v>
      </x:c>
      <x:c r="E22" s="35" t="str">
        <x:v>multiple</x:v>
      </x:c>
      <x:c r="F22" s="35" t="str">
        <x:f>IF(ISNUMBER(D22),IF(ABS(D22)&lt;0.000000001,"OK","CHECK"),"Not applicable")</x:f>
        <x:v>OK</x:v>
      </x:c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</x:row>
    <x:row r="23" ht="23" customHeight="1">
      <x:c r="C23" s="2" t="str">
        <x:v>Protein assays whole-family dilution</x:v>
      </x:c>
      <x:c r="D23" s="70" t="n">
        <x:f>IF(ISNUMBER('Calculations'!L46),'Calculations'!M46-1-'Calculations'!G46*('Calculations'!L46-1),IF('Calculations'!M46=1,0,1))</x:f>
        <x:v>0</x:v>
      </x:c>
      <x:c r="E23" s="35" t="str">
        <x:v>multiple</x:v>
      </x:c>
      <x:c r="F23" s="35" t="str">
        <x:f>IF(ISNUMBER(D23),IF(ABS(D23)&lt;0.000000001,"OK","CHECK"),"Not applicable")</x:f>
        <x:v>OK</x:v>
      </x:c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</x:row>
    <x:row r="24" ht="23" customHeight="1">
      <x:c r="C24" s="2" t="str">
        <x:v>Cells / culture whole-family dilution</x:v>
      </x:c>
      <x:c r="D24" s="70" t="n">
        <x:f>IF(ISNUMBER('Calculations'!L47),'Calculations'!M47-1-'Calculations'!G47*('Calculations'!L47-1),IF('Calculations'!M47=1,0,1))</x:f>
        <x:v>2.7755575615628914e-17</x:v>
      </x:c>
      <x:c r="E24" s="35" t="str">
        <x:v>multiple</x:v>
      </x:c>
      <x:c r="F24" s="35" t="str">
        <x:f>IF(ISNUMBER(D24),IF(ABS(D24)&lt;0.000000001,"OK","CHECK"),"Not applicable")</x:f>
        <x:v>OK</x:v>
      </x:c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</x:row>
    <x:row r="25" ht="23" customHeight="1">
      <x:c r="C25" s="2" t="str">
        <x:v>Labware whole-family dilution</x:v>
      </x:c>
      <x:c r="D25" s="70" t="n">
        <x:f>IF(ISNUMBER('Calculations'!L48),'Calculations'!M48-1-'Calculations'!G48*('Calculations'!L48-1),IF('Calculations'!M48=1,0,1))</x:f>
        <x:v>-3.469446951953614e-17</x:v>
      </x:c>
      <x:c r="E25" s="35" t="str">
        <x:v>multiple</x:v>
      </x:c>
      <x:c r="F25" s="35" t="str">
        <x:f>IF(ISNUMBER(D25),IF(ABS(D25)&lt;0.000000001,"OK","CHECK"),"Not applicable")</x:f>
        <x:v>OK</x:v>
      </x:c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</x:row>
    <x:row r="26" ht="23" customHeight="1">
      <x:c r="C26" s="2" t="str">
        <x:v>Analytics whole-family dilution</x:v>
      </x:c>
      <x:c r="D26" s="70" t="n">
        <x:f>IF(ISNUMBER('Calculations'!L49),'Calculations'!M49-1-'Calculations'!G49*('Calculations'!L49-1),IF('Calculations'!M49=1,0,1))</x:f>
        <x:v>1.3877787807814457e-16</x:v>
      </x:c>
      <x:c r="E26" s="35" t="str">
        <x:v>multiple</x:v>
      </x:c>
      <x:c r="F26" s="35" t="str">
        <x:f>IF(ISNUMBER(D26),IF(ABS(D26)&lt;0.000000001,"OK","CHECK"),"Not applicable")</x:f>
        <x:v>OK</x:v>
      </x:c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</x:row>
    <x:row r="27" ht="23" customHeight="1">
      <x:c r="C27" s="2" t="str">
        <x:v>Purification whole-family dilution</x:v>
      </x:c>
      <x:c r="D27" s="70" t="n">
        <x:f>IF(ISNUMBER('Calculations'!L50),'Calculations'!M50-1-'Calculations'!G50*('Calculations'!L50-1),IF('Calculations'!M50=1,0,1))</x:f>
        <x:v>5.724587470723463e-17</x:v>
      </x:c>
      <x:c r="E27" s="35" t="str">
        <x:v>multiple</x:v>
      </x:c>
      <x:c r="F27" s="35" t="str">
        <x:f>IF(ISNUMBER(D27),IF(ABS(D27)&lt;0.000000001,"OK","CHECK"),"Not applicable")</x:f>
        <x:v>OK</x:v>
      </x:c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</x:row>
    <x:row r="28" ht="23" customHeight="1">
      <x:c r="C28" s="2" t="str">
        <x:v>Numeric global input completeness</x:v>
      </x:c>
      <x:c r="D28" s="70" t="n">
        <x:f>COUNT('Scenario'!AC9,'Scenario'!AC15,'Scenario'!AC21,'Inputs'!D5,'Inputs'!D13:D26)-18</x:f>
        <x:v>0</x:v>
      </x:c>
      <x:c r="E28" s="35" t="str">
        <x:v>cells</x:v>
      </x:c>
      <x:c r="F28" s="35" t="str">
        <x:f>IF(ISNUMBER(D28),IF(ABS(D28)&lt;0.000000001,"OK","CHECK"),"Not applicable")</x:f>
        <x:v>OK</x:v>
      </x:c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</x:row>
    <x:row r="29" ht="23" customHeight="1">
      <x:c r="C29" s="2" t="str">
        <x:v>Selected coefficient completeness</x:v>
      </x:c>
      <x:c r="D29" s="70" t="n">
        <x:f>IF('Inputs'!D5=4,IF('Inputs'!E100&gt;0,COUNT('Inputs'!D43:G48)-24,0)+IF('Inputs'!E101&gt;0,COUNT('Inputs'!D53:G58)-24,0)+IF('Inputs'!E102&gt;0,COUNT('Inputs'!D63:G68)-24,0),CHOOSE('Inputs'!D5,COUNT('Inputs'!D43:G48),COUNT('Inputs'!D53:G58),COUNT('Inputs'!D63:G68))-24)</x:f>
        <x:v>0</x:v>
      </x:c>
      <x:c r="E29" s="35" t="str">
        <x:v>cells</x:v>
      </x:c>
      <x:c r="F29" s="35" t="str">
        <x:f>IF(ISNUMBER(D29),IF(ABS(D29)&lt;0.000000001,"OK","CHECK"),"Not applicable")</x:f>
        <x:v>OK</x:v>
      </x:c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</x:row>
    <x:row r="30" ht="23" customHeight="1">
      <x:c r="C30" s="2" t="str">
        <x:v>Workflow funding equals the same total</x:v>
      </x:c>
      <x:c r="D30" s="70" t="n">
        <x:f>SUM('Calculations'!E125:E127)-'Inputs'!D10</x:f>
        <x:v>-7.105427357601002e-15</x:v>
      </x:c>
      <x:c r="E30" s="35" t="str">
        <x:v>US$bn</x:v>
      </x:c>
      <x:c r="F30" s="35" t="str">
        <x:f>IF(ISNUMBER(D30),IF(ABS(D30)&lt;0.000000001,"OK","CHECK"),"Not applicable")</x:f>
        <x:v>OK</x:v>
      </x:c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</x:row>
    <x:row r="31" ht="23" customHeight="1">
      <x:c r="C31" s="2" t="str">
        <x:v>Workflow Build stocks equal reference</x:v>
      </x:c>
      <x:c r="D31" s="70" t="n">
        <x:f>SUM('Calculations'!F125:F127)-'Inputs'!D15</x:f>
        <x:v>0</x:v>
      </x:c>
      <x:c r="E31" s="35" t="str">
        <x:v>US$bn</x:v>
      </x:c>
      <x:c r="F31" s="35" t="str">
        <x:f>IF(ISNUMBER(D31),IF(ABS(D31)&lt;0.000000001,"OK","CHECK"),"Not applicable")</x:f>
        <x:v>OK</x:v>
      </x:c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</x:row>
    <x:row r="32" ht="23" customHeight="1">
      <x:c r="C32" s="2" t="str">
        <x:v>Workflow Test stocks equal reference</x:v>
      </x:c>
      <x:c r="D32" s="70" t="n">
        <x:f>SUM('Calculations'!G125:G127)-'Inputs'!D16</x:f>
        <x:v>0</x:v>
      </x:c>
      <x:c r="E32" s="35" t="str">
        <x:v>US$bn</x:v>
      </x:c>
      <x:c r="F32" s="35" t="str">
        <x:f>IF(ISNUMBER(D32),IF(ABS(D32)&lt;0.000000001,"OK","CHECK"),"Not applicable")</x:f>
        <x:v>OK</x:v>
      </x:c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</x:row>
    <x:row r="33" ht="23" customHeight="1">
      <x:c r="C33" s="2" t="str">
        <x:v>Effective workflow mix sums to 100%</x:v>
      </x:c>
      <x:c r="D33" s="70" t="n">
        <x:f>SUM('Calculations'!D125:D127)-1</x:f>
        <x:v>0</x:v>
      </x:c>
      <x:c r="E33" s="35" t="str">
        <x:v>fraction</x:v>
      </x:c>
      <x:c r="F33" s="35" t="str">
        <x:f>IF(ISNUMBER(D33),IF(ABS(D33)&lt;0.000000001,"OK","CHECK"),"Not applicable")</x:f>
        <x:v>OK</x:v>
      </x:c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</x:row>
    <x:row r="34" ht="23" customHeight="1">
      <x:c r="C34" s="2" t="str">
        <x:v>A target is not applicable when necessary funding shares or commissioning are zero.</x:v>
      </x:c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  <x:row r="35" ht="23" customHeight="1">
      <x:c r="C35" s="2" t="str">
        <x:v>No other worksheet references this check area.</x:v>
      </x:c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</x:row>
    <x:row r="36" ht="23" customHeight="1">
      <x:c r="C36" s="2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</x:row>
    <x:row r="37" ht="23" customHeight="1">
      <x:c r="C37" s="2" t="str">
        <x:v>Price factors affect increments only. A 1x baseline is retained with no new funding.</x:v>
      </x:c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</x:row>
    <x:row r="38" ht="23" customHeight="1">
      <x:c r="C38" s="2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</x:row>
    <x:row r="39" ht="23" customHeight="1">
      <x:c r="C39" s="2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</x:row>
    <x:row r="40" ht="23" customHeight="1">
      <x:c r="C40" s="2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</x:row>
    <x:row r="41" ht="23" customHeight="1">
      <x:c r="C41" s="2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ht="23" customHeight="1">
      <x:c r="C42" s="2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ht="23" customHeight="1">
      <x:c r="C43" s="2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</x:row>
    <x:row r="44" ht="23" customHeight="1">
      <x:c r="C44" s="2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</x:row>
    <x:row r="45" ht="23" customHeight="1">
      <x:c r="C45" s="2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</x:row>
    <x:row r="46" ht="23" customHeight="1">
      <x:c r="C46" s="2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</x:row>
    <x:row r="47" ht="23" customHeight="1">
      <x:c r="C47" s="2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</x:row>
    <x:row r="48" ht="23" customHeight="1">
      <x:c r="C48" s="2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</x:row>
  </x:sheetData>
  <x:conditionalFormatting sqref="F9:F33">
    <x:cfRule type="cellIs" dxfId="2" priority="1" operator="equal">
      <x:formula>"CHECK"</x:formula>
    </x:cfRule>
  </x:conditionalFormatting>
  <x:pageMargins left="0.7" right="0.7" top="0.75" bottom="0.75" header="0.3" footer="0.3"/>
</x:worksheet>
</file>