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f89aa317794e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cenario" sheetId="1" r:id="Rec0b85e2e30945cb"/>
    <x:sheet xmlns:r="http://schemas.openxmlformats.org/officeDocument/2006/relationships" name="Inputs" sheetId="2" r:id="R0aec04914e744fde"/>
    <x:sheet xmlns:r="http://schemas.openxmlformats.org/officeDocument/2006/relationships" name="Calculations" sheetId="3" r:id="R15ae368decd043e6"/>
    <x:sheet xmlns:r="http://schemas.openxmlformats.org/officeDocument/2006/relationships" name="Checks" sheetId="4" r:id="R1e57e69d2de040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#,##0.00;(#,##0.00);&quot;-&quot;"/>
    <x:numFmt numFmtId="201" formatCode="0"/>
    <x:numFmt numFmtId="202" formatCode="0.0%;(0.0%);&quot;-&quot;"/>
    <x:numFmt numFmtId="203" formatCode="@"/>
    <x:numFmt numFmtId="204" formatCode="0.00"/>
    <x:numFmt numFmtId="205" formatCode="dd-mmm-yyyy"/>
    <x:numFmt numFmtId="206" formatCode="0.00&quot;x&quot;;(0.00&quot;x&quot;);&quot;-&quot;"/>
    <x:numFmt numFmtId="207" formatCode="0.0"/>
    <x:numFmt numFmtId="208" formatCode="General"/>
    <x:numFmt numFmtId="209" formatCode="0.00;(0.00);0.00"/>
  </x:numFmts>
  <x:fonts count="15">
    <x:font>
      <x:sz val="11"/>
      <x:name val="Carlito"/>
    </x:font>
    <x:font>
      <x:sz val="10"/>
      <x:color rgb="FF00355F"/>
      <x:name val="Arial"/>
    </x:font>
    <x:font>
      <x:b/>
      <x:sz val="16"/>
      <x:color rgb="FF00355F"/>
      <x:name val="Arial"/>
    </x:font>
    <x:font>
      <x:i/>
      <x:sz val="10"/>
      <x:color rgb="FF00355F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b/>
      <x:sz val="10"/>
      <x:color rgb="FF00355F"/>
      <x:name val="Arial"/>
    </x:font>
    <x:font>
      <x:sz val="10"/>
      <x:color rgb="FFA5A5A5"/>
      <x:name val="Arial"/>
    </x:font>
    <x:font>
      <x:b/>
      <x:sz val="11"/>
      <x:color rgb="FFFFFFFF"/>
      <x:name val="Arial"/>
    </x:font>
    <x:font>
      <x:sz val="10"/>
      <x:color rgb="FF078549"/>
      <x:name val="Arial"/>
    </x:font>
    <x:font>
      <x:b/>
      <x:sz val="10"/>
      <x:color rgb="FF000000"/>
      <x:name val="Arial"/>
    </x:font>
    <x:font>
      <x:b/>
      <x:sz val="14"/>
      <x:color rgb="FF00355F"/>
      <x:name val="Arial"/>
    </x:font>
    <x:font>
      <x:i/>
      <x:sz val="10"/>
      <x:color rgb="FF0000FF"/>
      <x:name val="Arial"/>
    </x:font>
    <x:font>
      <x:i/>
      <x:sz val="10"/>
      <x:color rgb="FF078549"/>
      <x:name val="Arial"/>
    </x:font>
    <x:font>
      <x:i/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EF6FC"/>
      </x:patternFill>
    </x:fill>
    <x:fill>
      <x:patternFill patternType="solid">
        <x:fgColor rgb="FFACD4F1"/>
      </x:patternFill>
    </x:fill>
    <x:fill>
      <x:patternFill patternType="solid">
        <x:fgColor rgb="FF00355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5A5A5"/>
      </x:bottom>
      <x:diagonal/>
    </x:border>
  </x:borders>
  <x:cellStyleXfs count="1">
    <x:xf numFmtId="0" fontId="0" fillId="0" borderId="0"/>
  </x:cellStyleXfs>
  <x:cellXfs count="6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horizontal="right" vertical="center"/>
    </x:xf>
    <x:xf numFmtId="0" fontId="6" fillId="3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horizontal="right" vertical="center"/>
    </x:xf>
    <x:xf numFmtId="0" fontId="6" fillId="3" borderId="0" xfId="0" applyNumberFormat="1" applyFont="1" applyFill="1" applyBorder="1" applyAlignment="1">
      <x:alignment vertical="center" wrapText="1"/>
    </x:xf>
    <x:xf numFmtId="200" fontId="6" fillId="3" borderId="0" xfId="0" applyNumberFormat="1" applyFont="1" applyFill="1" applyBorder="1" applyAlignment="1">
      <x:alignment horizontal="right" vertic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200" fontId="6" fillId="3" borderId="0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right" vertical="center"/>
    </x:xf>
    <x:xf numFmtId="200" fontId="4" fillId="2" borderId="0" xfId="0" applyNumberFormat="1" applyFont="1" applyFill="1" applyBorder="1" applyAlignment="1">
      <x:alignment horizontal="right" vertical="center"/>
    </x:xf>
    <x:xf numFmtId="201" fontId="4" fillId="2" borderId="0" xfId="0" applyNumberFormat="1" applyFont="1" applyFill="1" applyBorder="1" applyAlignment="1">
      <x:alignment horizontal="right" vertical="center"/>
    </x:xf>
    <x:xf numFmtId="202" fontId="4" fillId="2" borderId="0" xfId="0" applyNumberFormat="1" applyFont="1" applyFill="1" applyBorder="1" applyAlignment="1">
      <x:alignment horizontal="right" vertical="center"/>
    </x:xf>
    <x:xf numFmtId="200" fontId="7" fillId="0" borderId="0" xfId="0" applyNumberFormat="1" applyFont="1" applyFill="1" applyBorder="1" applyAlignment="1">
      <x:alignment horizontal="right" vertical="center"/>
    </x:xf>
    <x:xf numFmtId="200" fontId="5" fillId="0" borderId="0" xfId="0" applyNumberFormat="1" applyFont="1" applyFill="1" applyBorder="1" applyAlignment="1">
      <x:alignment horizontal="right" vertical="center"/>
    </x:xf>
    <x:xf numFmtId="203" fontId="5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right" vertical="center"/>
    </x:xf>
    <x:xf numFmtId="0" fontId="8" fillId="4" borderId="0" xfId="0" applyNumberFormat="1" applyFont="1" applyFill="1" applyBorder="1" applyAlignment="1">
      <x:alignment vertical="center"/>
    </x:xf>
    <x:xf numFmtId="200" fontId="8" fillId="4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204" fontId="5" fillId="0" borderId="0" xfId="0" applyNumberFormat="1" applyFont="1" applyFill="1" applyBorder="1" applyAlignment="1">
      <x:alignment horizontal="right" vertical="center"/>
    </x:xf>
    <x:xf numFmtId="204" fontId="4" fillId="2" borderId="0" xfId="0" applyNumberFormat="1" applyFont="1" applyFill="1" applyBorder="1" applyAlignment="1">
      <x:alignment horizontal="right" vertical="center"/>
    </x:xf>
    <x:xf numFmtId="205" fontId="1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9" fillId="0" borderId="1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horizontal="right" vertical="center"/>
    </x:xf>
    <x:xf numFmtId="202" fontId="9" fillId="0" borderId="0" xfId="0" applyNumberFormat="1" applyFont="1" applyFill="1" applyBorder="1" applyAlignment="1">
      <x:alignment horizontal="right" vertical="center"/>
    </x:xf>
    <x:xf numFmtId="206" fontId="5" fillId="0" borderId="0" xfId="0" applyNumberFormat="1" applyFont="1" applyFill="1" applyBorder="1" applyAlignment="1">
      <x:alignment horizontal="right" vertical="center"/>
    </x:xf>
    <x:xf numFmtId="206" fontId="9" fillId="0" borderId="0" xfId="0" applyNumberFormat="1" applyFont="1" applyFill="1" applyBorder="1" applyAlignment="1">
      <x:alignment horizontal="right" vertical="center"/>
    </x:xf>
    <x:xf numFmtId="206" fontId="9" fillId="3" borderId="0" xfId="0" applyNumberFormat="1" applyFont="1" applyFill="1" applyBorder="1" applyAlignment="1">
      <x:alignment horizontal="right" vertical="center"/>
    </x:xf>
    <x:xf numFmtId="206" fontId="10" fillId="3" borderId="0" xfId="0" applyNumberFormat="1" applyFont="1" applyFill="1" applyBorder="1" applyAlignment="1">
      <x:alignment horizontal="right" vertical="center"/>
    </x:xf>
    <x:xf numFmtId="206" fontId="9" fillId="0" borderId="0" xfId="0" applyNumberFormat="1" applyFont="1" applyFill="1" applyBorder="1" applyAlignment="1">
      <x:alignment horizontal="right" vertical="center" wrapText="1"/>
    </x:xf>
    <x:xf numFmtId="201" fontId="5" fillId="0" borderId="0" xfId="0" applyNumberFormat="1" applyFont="1" applyFill="1" applyBorder="1" applyAlignment="1">
      <x:alignment horizontal="right" vertical="center"/>
    </x:xf>
    <x:xf numFmtId="200" fontId="10" fillId="3" borderId="0" xfId="0" applyNumberFormat="1" applyFont="1" applyFill="1" applyBorder="1" applyAlignment="1">
      <x:alignment horizontal="center" vertical="center" wrapText="1"/>
    </x:xf>
    <x:xf numFmtId="207" fontId="10" fillId="3" borderId="0" xfId="0" applyNumberFormat="1" applyFont="1" applyFill="1" applyBorder="1" applyAlignment="1">
      <x:alignment horizontal="center" vertical="center" wrapText="1"/>
    </x:xf>
    <x:xf numFmtId="208" fontId="9" fillId="0" borderId="0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vertical="center"/>
    </x:xf>
    <x:xf numFmtId="206" fontId="9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horizontal="right" vertical="center"/>
    </x:xf>
    <x:xf numFmtId="206" fontId="1" fillId="3" borderId="0" xfId="0" applyNumberFormat="1" applyFont="1" applyFill="1" applyBorder="1" applyAlignment="1">
      <x:alignment horizontal="right" vertical="center"/>
    </x:xf>
    <x:xf numFmtId="206" fontId="11" fillId="3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vertical="center"/>
    </x:xf>
    <x:xf numFmtId="209" fontId="9" fillId="0" borderId="0" xfId="0" applyNumberFormat="1" applyFont="1" applyFill="1" applyBorder="1" applyAlignment="1">
      <x:alignment horizontal="right" vertical="center"/>
    </x:xf>
    <x:xf numFmtId="209" fontId="5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center"/>
    </x:xf>
    <x:xf numFmtId="202" fontId="3" fillId="0" borderId="0" xfId="0" applyNumberFormat="1" applyFont="1" applyFill="1" applyBorder="1" applyAlignment="1">
      <x:alignment horizontal="right" vertical="center"/>
    </x:xf>
    <x:xf numFmtId="202" fontId="12" fillId="2" borderId="0" xfId="0" applyNumberFormat="1" applyFont="1" applyFill="1" applyBorder="1" applyAlignment="1">
      <x:alignment horizontal="right" vertical="center"/>
    </x:xf>
    <x:xf numFmtId="0" fontId="9" fillId="0" borderId="1" xfId="0" applyNumberFormat="1" applyFont="1" applyFill="1" applyBorder="1" applyAlignment="1">
      <x:alignment horizontal="left" vertical="center"/>
    </x:xf>
    <x:xf numFmtId="202" fontId="13" fillId="0" borderId="0" xfId="0" applyNumberFormat="1" applyFont="1" applyFill="1" applyBorder="1" applyAlignment="1">
      <x:alignment horizontal="right" vertical="center"/>
    </x:xf>
    <x:xf numFmtId="202" fontId="14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3">
    <x:dxf>
      <x:font>
        <x:b/>
        <x:color rgb="FFBE3232"/>
      </x:font>
      <x:fill>
        <x:patternFill patternType="solid">
          <x:bgColor rgb="FFFBE8E8"/>
        </x:patternFill>
      </x:fill>
    </x:dxf>
    <x:dxf>
      <x:font>
        <x:b/>
        <x:color rgb="FFBE3232"/>
      </x:font>
      <x:fill>
        <x:patternFill patternType="solid">
          <x:bgColor rgb="FFFBE8E8"/>
        </x:patternFill>
      </x:fill>
    </x:dxf>
    <x:dxf>
      <x:font>
        <x:b/>
        <x:color rgb="FFBE3232"/>
      </x:font>
      <x:fill>
        <x:patternFill patternType="solid">
          <x:bgColor rgb="FFFBE8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704708141d4f64" /><Relationship Type="http://schemas.openxmlformats.org/officeDocument/2006/relationships/theme" Target="/xl/theme/theme1.xml" Id="R0a814ca096d04198" /><Relationship Type="http://schemas.openxmlformats.org/officeDocument/2006/relationships/sharedStrings" Target="/xl/sharedStrings.xml" Id="Rf57194a4140e49f5" /><Relationship Type="http://schemas.openxmlformats.org/officeDocument/2006/relationships/worksheet" Target="/xl/worksheets/sheet1.xml" Id="Rec0b85e2e30945cb" /><Relationship Type="http://schemas.openxmlformats.org/officeDocument/2006/relationships/worksheet" Target="/xl/worksheets/sheet2.xml" Id="R0aec04914e744fde" /><Relationship Type="http://schemas.openxmlformats.org/officeDocument/2006/relationships/worksheet" Target="/xl/worksheets/sheet3.xml" Id="R15ae368decd043e6" /><Relationship Type="http://schemas.openxmlformats.org/officeDocument/2006/relationships/worksheet" Target="/xl/worksheets/sheet4.xml" Id="R1e57e69d2de040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188c22d3914ff7" /><Relationship Type="http://schemas.openxmlformats.org/officeDocument/2006/relationships/chart" Target="/xl/drawings/charts/chart2.xml" Id="Rabdd72548b0d469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Purchasing indices (1x baseline)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AI cohort</c:v>
          </c:tx>
          <c:spPr>
            <a:solidFill xmlns:a="http://schemas.openxmlformats.org/drawingml/2006/main">
              <a:srgbClr val="00355F"/>
            </a:solidFill>
          </c:spPr>
          <c:invertIfNegative val="0"/>
          <c:cat>
            <c:strRef>
              <c:f>'Calculations'!$C$78:$C$83</c:f>
              <c:strCache>
                <c:ptCount val="0"/>
              </c:strCache>
            </c:strRef>
          </c:cat>
          <c:val>
            <c:numRef>
              <c:f>'Calculations'!$D$78:$D$83</c:f>
              <c:numCache>
                <c:formatCode>#,##0.00;(#,##0.00);"-"</c:formatCode>
                <c:ptCount val="0"/>
              </c:numCache>
            </c:numRef>
          </c:val>
        </c:ser>
        <c:ser>
          <c:idx val="1"/>
          <c:order val="1"/>
          <c:tx>
            <c:v>Whole family</c:v>
          </c:tx>
          <c:spPr>
            <a:solidFill xmlns:a="http://schemas.openxmlformats.org/drawingml/2006/main">
              <a:srgbClr val="ACD4F1"/>
            </a:solidFill>
          </c:spPr>
          <c:invertIfNegative val="0"/>
          <c:cat>
            <c:strRef>
              <c:f>'Calculations'!$C$78:$C$83</c:f>
              <c:strCache>
                <c:ptCount val="0"/>
              </c:strCache>
            </c:strRef>
          </c:cat>
          <c:val>
            <c:numRef>
              <c:f>'Calculations'!$E$78:$E$83</c:f>
              <c:numCache>
                <c:formatCode>#,##0.00;(#,##0.00);"-"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&quot;x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Funded throughput by year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Build</c:v>
          </c:tx>
          <c:spPr>
            <a:ln xmlns:a="http://schemas.openxmlformats.org/drawingml/2006/main" w="19050">
              <a:solidFill>
                <a:srgbClr val="7399C6"/>
              </a:solidFill>
              <a:prstDash val="solid"/>
            </a:ln>
          </c:spPr>
          <c:marker>
            <c:symbol val="none"/>
          </c:marker>
          <c:cat>
            <c:strRef>
              <c:f>'Calculations'!$C$86:$C$91</c:f>
              <c:strCache>
                <c:ptCount val="0"/>
              </c:strCache>
            </c:strRef>
          </c:cat>
          <c:val>
            <c:numRef>
              <c:f>'Calculations'!$D$86:$D$91</c:f>
              <c:numCache>
                <c:formatCode>#,##0.00;(#,##0.00);"-"</c:formatCode>
                <c:ptCount val="0"/>
              </c:numCache>
            </c:numRef>
          </c:val>
          <c:smooth val="0"/>
        </c:ser>
        <c:ser>
          <c:idx val="1"/>
          <c:order val="1"/>
          <c:tx>
            <c:v>Test</c:v>
          </c:tx>
          <c:spPr>
            <a:ln xmlns:a="http://schemas.openxmlformats.org/drawingml/2006/main" w="19050">
              <a:solidFill>
                <a:srgbClr val="00355F"/>
              </a:solidFill>
              <a:prstDash val="solid"/>
            </a:ln>
          </c:spPr>
          <c:marker>
            <c:symbol val="none"/>
          </c:marker>
          <c:cat>
            <c:strRef>
              <c:f>'Calculations'!$C$86:$C$91</c:f>
              <c:strCache>
                <c:ptCount val="0"/>
              </c:strCache>
            </c:strRef>
          </c:cat>
          <c:val>
            <c:numRef>
              <c:f>'Calculations'!$E$86:$E$91</c:f>
              <c:numCache>
                <c:formatCode>#,##0.00;(#,##0.00);"-"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&quot;x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6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188c22d3914ff7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17</xdr:col>
      <xdr:colOff>0</xdr:colOff>
      <xdr:row>43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dd72548b0d469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47e042a632c4693" /></Relationships>
</file>

<file path=xl/worksheets/sheet1.xml><?xml version="1.0" encoding="utf-8"?>
<x:worksheet xmlns:x="http://schemas.openxmlformats.org/spreadsheetml/2006/main">
  <x:sheetPr>
    <x:tabColor rgb="FF00355F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9" hidden="0" customWidth="1"/>
    <x:col min="4" max="4" width="17" hidden="0" customWidth="1"/>
    <x:col min="5" max="5" width="17" hidden="0" customWidth="1"/>
    <x:col min="6" max="6" width="28" hidden="0" customWidth="1"/>
    <x:col min="7" max="7" width="17" hidden="0" customWidth="1"/>
    <x:col min="8" max="8" width="17" hidden="0" customWidth="1"/>
    <x:col min="9" max="9" width="3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</x:cols>
  <x:sheetData>
    <x:row r="2" ht="23" customHeight="1">
      <x:c r="C2" s="60" t="str">
        <x:v>AI wet-lab investment scenarios</x:v>
      </x:c>
      <x:c r="D2" s="61"/>
      <x:c r="E2" s="61"/>
      <x:c r="F2" s="61"/>
      <x:c r="G2" s="61"/>
      <x:c r="H2" s="61"/>
      <x:c r="I2" s="61"/>
      <x:c r="J2" s="61"/>
      <x:c r="K2" s="61"/>
      <x:c r="L2" s="61"/>
      <x:c r="M2" s="61"/>
      <x:c r="N2" s="61"/>
      <x:c r="O2" s="61"/>
      <x:c r="P2" s="61"/>
      <x:c r="Q2" s="61"/>
    </x:row>
    <x:row r="3" ht="23" customHeight="1">
      <x:c r="C3" s="62" t="str">
        <x:v>Illustrative global model. Model version 2026-10-14.1. US$bn unless stated.</x:v>
      </x:c>
      <x:c r="D3" s="62"/>
      <x:c r="E3" s="62"/>
      <x:c r="F3" s="62"/>
      <x:c r="G3" s="62"/>
      <x:c r="H3" s="62"/>
      <x:c r="I3" s="61"/>
      <x:c r="J3" s="61"/>
      <x:c r="K3" s="61"/>
      <x:c r="L3" s="61"/>
      <x:c r="M3" s="61"/>
      <x:c r="N3" s="61"/>
      <x:c r="O3" s="61"/>
      <x:c r="P3" s="61"/>
      <x:c r="Q3" s="61"/>
    </x:row>
    <x:row r="4" ht="23" customHeight="1">
      <x:c r="C4" s="63"/>
      <x:c r="D4" s="63"/>
      <x:c r="E4" s="63"/>
      <x:c r="F4" s="63"/>
      <x:c r="G4" s="63"/>
      <x:c r="H4" s="63"/>
      <x:c r="I4" s="61"/>
      <x:c r="J4" s="61"/>
      <x:c r="K4" s="61"/>
      <x:c r="L4" s="61"/>
      <x:c r="M4" s="61"/>
      <x:c r="N4" s="61"/>
      <x:c r="O4" s="61"/>
      <x:c r="P4" s="61"/>
      <x:c r="Q4" s="61"/>
    </x:row>
    <x:row r="5" ht="23" customHeight="1">
      <x:c r="C5" s="2" t="str">
        <x:v>Selected workflow</x:v>
      </x:c>
      <x:c r="D5" s="49" t="str">
        <x:f>'Inputs'!E5</x:f>
        <x:v>Protein / antibody discovery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23" customHeight="1">
      <x:c r="C6" s="2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</x:row>
    <x:row r="7" ht="25" customHeight="1">
      <x:c r="C7" s="30" t="str">
        <x:v>Current funding and capacity</x:v>
      </x:c>
      <x:c r="D7" s="31"/>
      <x:c r="E7" s="31"/>
      <x:c r="F7" s="31"/>
      <x:c r="G7" s="31"/>
      <x:c r="H7" s="31"/>
      <x:c r="I7" s="4"/>
      <x:c r="J7" s="4"/>
      <x:c r="K7" s="4"/>
      <x:c r="L7" s="4"/>
      <x:c r="M7" s="4"/>
      <x:c r="N7" s="4"/>
      <x:c r="O7" s="4"/>
      <x:c r="P7" s="4"/>
      <x:c r="Q7" s="4"/>
    </x:row>
    <x:row r="8" ht="23" customHeight="1">
      <x:c r="C8" s="2" t="str">
        <x:v>Total program funding</x:v>
      </x:c>
      <x:c r="D8" s="4" t="n">
        <x:f>'Calculations'!D8</x:f>
        <x:v>50</x:v>
      </x:c>
      <x:c r="E8" s="4" t="str">
        <x:v>US$bn</x:v>
      </x:c>
      <x:c r="F8" s="4" t="str">
        <x:v>Deployment period</x:v>
      </x:c>
      <x:c r="G8" s="4" t="n">
        <x:f>'Calculations'!D9</x:f>
        <x:v>5</x:v>
      </x:c>
      <x:c r="H8" s="4" t="str">
        <x:v>years</x:v>
      </x:c>
      <x:c r="I8" s="4"/>
      <x:c r="J8" s="4"/>
      <x:c r="K8" s="4"/>
      <x:c r="L8" s="4"/>
      <x:c r="M8" s="4"/>
      <x:c r="N8" s="4"/>
      <x:c r="O8" s="4"/>
      <x:c r="P8" s="4"/>
      <x:c r="Q8" s="4"/>
    </x:row>
    <x:row r="9" ht="23" customHeight="1">
      <x:c r="C9" s="2" t="str">
        <x:v>Annual program funding</x:v>
      </x:c>
      <x:c r="D9" s="4" t="n">
        <x:f>'Calculations'!D10</x:f>
        <x:v>10</x:v>
      </x:c>
      <x:c r="E9" s="4" t="str">
        <x:v>US$bn/year</x:v>
      </x:c>
      <x:c r="F9" s="4" t="str">
        <x:v>Wet-lab funding share</x:v>
      </x:c>
      <x:c r="G9" s="64" t="n">
        <x:f>'Inputs'!D12</x:f>
        <x:v>0.35</x:v>
      </x:c>
      <x:c r="H9" s="4"/>
      <x:c r="I9" s="4"/>
      <x:c r="J9" s="4"/>
      <x:c r="K9" s="4"/>
      <x:c r="L9" s="4"/>
      <x:c r="M9" s="4"/>
      <x:c r="N9" s="4"/>
      <x:c r="O9" s="4"/>
      <x:c r="P9" s="4"/>
      <x:c r="Q9" s="4"/>
    </x:row>
    <x:row r="10" ht="23" customHeight="1">
      <x:c r="C10" s="2" t="str">
        <x:v>Annual wet-lab funding</x:v>
      </x:c>
      <x:c r="D10" s="4" t="n">
        <x:f>'Calculations'!D14</x:f>
        <x:v>3.5</x:v>
      </x:c>
      <x:c r="E10" s="4" t="str">
        <x:v>US$bn/year</x:v>
      </x:c>
      <x:c r="F10" s="4" t="str">
        <x:v>Equipment share within wet lab</x:v>
      </x:c>
      <x:c r="G10" s="64" t="n">
        <x:f>'Inputs'!D13</x:f>
        <x:v>0.45</x:v>
      </x:c>
      <x:c r="H10" s="4"/>
      <x:c r="I10" s="4"/>
      <x:c r="J10" s="4"/>
      <x:c r="K10" s="4"/>
      <x:c r="L10" s="4"/>
      <x:c r="M10" s="4"/>
      <x:c r="N10" s="4"/>
      <x:c r="O10" s="4"/>
      <x:c r="P10" s="4"/>
      <x:c r="Q10" s="4"/>
    </x:row>
    <x:row r="11" ht="23" customHeight="1">
      <x:c r="C11" s="2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</x:row>
    <x:row r="12" ht="32" customHeight="1">
      <x:c r="C12" s="18" t="str">
        <x:v>Stage</x:v>
      </x:c>
      <x:c r="D12" s="19" t="str">
        <x:v>Funded support</x:v>
      </x:c>
      <x:c r="E12" s="19" t="str">
        <x:v>Raw support</x:v>
      </x:c>
      <x:c r="F12" s="19" t="str">
        <x:v>Binding constraint</x:v>
      </x:c>
      <x:c r="G12" s="19" t="str">
        <x:v>Target gap</x:v>
      </x:c>
      <x:c r="H12" s="19" t="str">
        <x:v>Ceiling</x:v>
      </x:c>
      <x:c r="I12" s="4"/>
      <x:c r="J12" s="4"/>
      <x:c r="K12" s="4"/>
      <x:c r="L12" s="4"/>
      <x:c r="M12" s="4"/>
      <x:c r="N12" s="4"/>
      <x:c r="O12" s="4"/>
      <x:c r="P12" s="4"/>
      <x:c r="Q12" s="4"/>
    </x:row>
    <x:row r="13" ht="36" customHeight="1">
      <x:c r="C13" s="2" t="str">
        <x:v>Build</x:v>
      </x:c>
      <x:c r="D13" s="54" t="n">
        <x:f>'Calculations'!D34</x:f>
        <x:v>2.5618749999999997</x:v>
      </x:c>
      <x:c r="E13" s="52" t="n">
        <x:f>'Calculations'!D33</x:f>
        <x:v>2.5618749999999997</x:v>
      </x:c>
      <x:c r="F13" s="36" t="str">
        <x:f>'Calculations'!D35</x:f>
        <x:v>Equipment capacity</x:v>
      </x:c>
      <x:c r="G13" s="55" t="n">
        <x:f>'Calculations'!D37</x:f>
        <x:v>0</x:v>
      </x:c>
      <x:c r="H13" s="36" t="str">
        <x:f>'Calculations'!D38</x:f>
        <x:v>Within ceiling</x:v>
      </x:c>
      <x:c r="I13" s="4"/>
      <x:c r="J13" s="4"/>
      <x:c r="K13" s="4"/>
      <x:c r="L13" s="4"/>
      <x:c r="M13" s="4"/>
      <x:c r="N13" s="4"/>
      <x:c r="O13" s="4"/>
      <x:c r="P13" s="4"/>
      <x:c r="Q13" s="4"/>
    </x:row>
    <x:row r="14" ht="36" customHeight="1">
      <x:c r="C14" s="2" t="str">
        <x:v>Test</x:v>
      </x:c>
      <x:c r="D14" s="54" t="n">
        <x:f>'Calculations'!E34</x:f>
        <x:v>2.7403750000000002</x:v>
      </x:c>
      <x:c r="E14" s="52" t="n">
        <x:f>'Calculations'!E33</x:f>
        <x:v>2.7403750000000002</x:v>
      </x:c>
      <x:c r="F14" s="36" t="str">
        <x:f>'Calculations'!E35</x:f>
        <x:v>Equipment capacity</x:v>
      </x:c>
      <x:c r="G14" s="55" t="n">
        <x:f>'Calculations'!E37</x:f>
        <x:v>0</x:v>
      </x:c>
      <x:c r="H14" s="36" t="str">
        <x:f>'Calculations'!E38</x:f>
        <x:v>Within ceiling</x:v>
      </x:c>
      <x:c r="I14" s="4"/>
      <x:c r="J14" s="4"/>
      <x:c r="K14" s="4"/>
      <x:c r="L14" s="4"/>
      <x:c r="M14" s="4"/>
      <x:c r="N14" s="4"/>
      <x:c r="O14" s="4"/>
      <x:c r="P14" s="4"/>
      <x:c r="Q14" s="4"/>
    </x:row>
    <x:row r="15" ht="23" customHeight="1">
      <x:c r="C15" s="2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</x:row>
    <x:row r="16" ht="23" customHeight="1">
      <x:c r="C16" s="2" t="str">
        <x:v>The 2x lower bound is a target. Funded support may be lower.</x:v>
      </x:c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</x:row>
    <x:row r="17" ht="23" customHeight="1">
      <x:c r="C17" s="2" t="str">
        <x:v>A 10x ceiling applies to this cohort. Raw support remains visible.</x:v>
      </x:c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</x:row>
    <x:row r="18" ht="23" customHeight="1">
      <x:c r="C18" s="2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</x:row>
    <x:row r="19" ht="25" customHeight="1">
      <x:c r="C19" s="30" t="str">
        <x:v>Six-family purchasing indices</x:v>
      </x:c>
      <x:c r="D19" s="31"/>
      <x:c r="E19" s="31"/>
      <x:c r="F19" s="31"/>
      <x:c r="G19" s="31"/>
      <x:c r="H19" s="31"/>
      <x:c r="I19" s="4"/>
      <x:c r="J19" s="4"/>
      <x:c r="K19" s="4"/>
      <x:c r="L19" s="4"/>
      <x:c r="M19" s="4"/>
      <x:c r="N19" s="4"/>
      <x:c r="O19" s="4"/>
      <x:c r="P19" s="4"/>
      <x:c r="Q19" s="4"/>
    </x:row>
    <x:row r="20" ht="32" customHeight="1">
      <x:c r="C20" s="18" t="str">
        <x:v>Family</x:v>
      </x:c>
      <x:c r="D20" s="19" t="str">
        <x:v>AI cohort</x:v>
      </x:c>
      <x:c r="E20" s="19" t="str">
        <x:v>Whole family</x:v>
      </x:c>
      <x:c r="F20" s="19" t="str">
        <x:v>Activity driver</x:v>
      </x:c>
      <x:c r="G20" s="19" t="str">
        <x:v>AI exposure</x:v>
      </x:c>
      <x:c r="H20" s="19" t="str">
        <x:v>Cohort rank</x:v>
      </x:c>
      <x:c r="I20" s="4"/>
      <x:c r="J20" s="4"/>
      <x:c r="K20" s="4"/>
      <x:c r="L20" s="4"/>
      <x:c r="M20" s="4"/>
      <x:c r="N20" s="4"/>
      <x:c r="O20" s="4"/>
      <x:c r="P20" s="4"/>
      <x:c r="Q20" s="4"/>
    </x:row>
    <x:row r="21" ht="23" customHeight="1">
      <x:c r="C21" s="2" t="str">
        <x:v>Molecular construction</x:v>
      </x:c>
      <x:c r="D21" s="52" t="n">
        <x:f>'Calculations'!L45</x:f>
        <x:v>2.3318582246810866</x:v>
      </x:c>
      <x:c r="E21" s="52" t="n">
        <x:f>'Calculations'!M45</x:f>
        <x:v>1.1598229869617305</x:v>
      </x:c>
      <x:c r="F21" s="52" t="n">
        <x:f>'Calculations'!H45</x:f>
        <x:v>2.5618749999999997</x:v>
      </x:c>
      <x:c r="G21" s="64" t="n">
        <x:f>'Calculations'!G45</x:f>
        <x:v>0.12</x:v>
      </x:c>
      <x:c r="H21" s="56" t="n">
        <x:f>'Calculations'!N45</x:f>
        <x:v>2</x:v>
      </x:c>
      <x:c r="I21" s="4"/>
      <x:c r="J21" s="4"/>
      <x:c r="K21" s="4"/>
      <x:c r="L21" s="4"/>
      <x:c r="M21" s="4"/>
      <x:c r="N21" s="4"/>
      <x:c r="O21" s="4"/>
      <x:c r="P21" s="4"/>
      <x:c r="Q21" s="4"/>
    </x:row>
    <x:row r="22" ht="23" customHeight="1">
      <x:c r="C22" s="2" t="str">
        <x:v>Protein &amp; functional assays</x:v>
      </x:c>
      <x:c r="D22" s="52" t="n">
        <x:f>'Calculations'!L46</x:f>
        <x:v>2.5814786586911738</x:v>
      </x:c>
      <x:c r="E22" s="52" t="n">
        <x:f>'Calculations'!M46</x:f>
        <x:v>1.3162957317382347</x:v>
      </x:c>
      <x:c r="F22" s="52" t="n">
        <x:f>'Calculations'!H46</x:f>
        <x:v>2.7136</x:v>
      </x:c>
      <x:c r="G22" s="64" t="n">
        <x:f>'Calculations'!G46</x:f>
        <x:v>0.2</x:v>
      </x:c>
      <x:c r="H22" s="56" t="n">
        <x:f>'Calculations'!N46</x:f>
        <x:v>1</x:v>
      </x:c>
      <x:c r="I22" s="4"/>
      <x:c r="J22" s="4"/>
      <x:c r="K22" s="4"/>
      <x:c r="L22" s="4"/>
      <x:c r="M22" s="4"/>
      <x:c r="N22" s="4"/>
      <x:c r="O22" s="4"/>
      <x:c r="P22" s="4"/>
      <x:c r="Q22" s="4"/>
    </x:row>
    <x:row r="23" ht="23" customHeight="1">
      <x:c r="C23" s="2" t="str">
        <x:v>Cells &amp; culture systems</x:v>
      </x:c>
      <x:c r="D23" s="52" t="n">
        <x:f>'Calculations'!L47</x:f>
        <x:v>2.1194779723181947</x:v>
      </x:c>
      <x:c r="E23" s="52" t="n">
        <x:f>'Calculations'!M47</x:f>
        <x:v>1.1119477972318195</x:v>
      </x:c>
      <x:c r="F23" s="52" t="n">
        <x:f>'Calculations'!H47</x:f>
        <x:v>2.722525</x:v>
      </x:c>
      <x:c r="G23" s="64" t="n">
        <x:f>'Calculations'!G47</x:f>
        <x:v>0.1</x:v>
      </x:c>
      <x:c r="H23" s="56" t="n">
        <x:f>'Calculations'!N47</x:f>
        <x:v>3</x:v>
      </x:c>
      <x:c r="I23" s="4"/>
      <x:c r="J23" s="4"/>
      <x:c r="K23" s="4"/>
      <x:c r="L23" s="4"/>
      <x:c r="M23" s="4"/>
      <x:c r="N23" s="4"/>
      <x:c r="O23" s="4"/>
      <x:c r="P23" s="4"/>
      <x:c r="Q23" s="4"/>
    </x:row>
    <x:row r="24" ht="23" customHeight="1">
      <x:c r="C24" s="2" t="str">
        <x:v>Labware &amp; sample handling</x:v>
      </x:c>
      <x:c r="D24" s="52" t="n">
        <x:f>'Calculations'!L48</x:f>
        <x:v>1.4829200669017424</x:v>
      </x:c>
      <x:c r="E24" s="52" t="n">
        <x:f>'Calculations'!M48</x:f>
        <x:v>1.0386336053521394</x:v>
      </x:c>
      <x:c r="F24" s="52" t="n">
        <x:f>'Calculations'!H48</x:f>
        <x:v>2.6779</x:v>
      </x:c>
      <x:c r="G24" s="64" t="n">
        <x:f>'Calculations'!G48</x:f>
        <x:v>0.08</x:v>
      </x:c>
      <x:c r="H24" s="56" t="n">
        <x:f>'Calculations'!N48</x:f>
        <x:v>5</x:v>
      </x:c>
      <x:c r="I24" s="4"/>
      <x:c r="J24" s="4"/>
      <x:c r="K24" s="4"/>
      <x:c r="L24" s="4"/>
      <x:c r="M24" s="4"/>
      <x:c r="N24" s="4"/>
      <x:c r="O24" s="4"/>
      <x:c r="P24" s="4"/>
      <x:c r="Q24" s="4"/>
    </x:row>
    <x:row r="25" ht="23" customHeight="1">
      <x:c r="C25" s="2" t="str">
        <x:v>Measurement &amp; analytics</x:v>
      </x:c>
      <x:c r="D25" s="52" t="n">
        <x:f>'Calculations'!L49</x:f>
        <x:v>2.020576410837624</x:v>
      </x:c>
      <x:c r="E25" s="52" t="n">
        <x:f>'Calculations'!M49</x:f>
        <x:v>1.1224691693005149</x:v>
      </x:c>
      <x:c r="F25" s="52" t="n">
        <x:f>'Calculations'!H49</x:f>
        <x:v>2.73145</x:v>
      </x:c>
      <x:c r="G25" s="64" t="n">
        <x:f>'Calculations'!G49</x:f>
        <x:v>0.12</x:v>
      </x:c>
      <x:c r="H25" s="56" t="n">
        <x:f>'Calculations'!N49</x:f>
        <x:v>4</x:v>
      </x:c>
      <x:c r="I25" s="4"/>
      <x:c r="J25" s="4"/>
      <x:c r="K25" s="4"/>
      <x:c r="L25" s="4"/>
      <x:c r="M25" s="4"/>
      <x:c r="N25" s="4"/>
      <x:c r="O25" s="4"/>
      <x:c r="P25" s="4"/>
      <x:c r="Q25" s="4"/>
    </x:row>
    <x:row r="26" ht="23" customHeight="1">
      <x:c r="C26" s="2" t="str">
        <x:v>Purification &amp; scale-up</x:v>
      </x:c>
      <x:c r="D26" s="52" t="n">
        <x:f>'Calculations'!L50</x:f>
        <x:v>1.217957909972209</x:v>
      </x:c>
      <x:c r="E26" s="52" t="n">
        <x:f>'Calculations'!M50</x:f>
        <x:v>1.0130774745983326</x:v>
      </x:c>
      <x:c r="F26" s="52" t="n">
        <x:f>'Calculations'!H50</x:f>
        <x:v>2.6332750000000003</x:v>
      </x:c>
      <x:c r="G26" s="64" t="n">
        <x:f>'Calculations'!G50</x:f>
        <x:v>0.06</x:v>
      </x:c>
      <x:c r="H26" s="56" t="n">
        <x:f>'Calculations'!N50</x:f>
        <x:v>6</x:v>
      </x:c>
      <x:c r="I26" s="4"/>
      <x:c r="J26" s="4"/>
      <x:c r="K26" s="4"/>
      <x:c r="L26" s="4"/>
      <x:c r="M26" s="4"/>
      <x:c r="N26" s="4"/>
      <x:c r="O26" s="4"/>
      <x:c r="P26" s="4"/>
      <x:c r="Q26" s="4"/>
    </x:row>
    <x:row r="27" ht="23" customHeight="1">
      <x:c r="C27" s="2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</x:row>
    <x:row r="28" ht="23" customHeight="1">
      <x:c r="C28" s="2" t="str">
        <x:v>Indices are non-additive. Supplier revenue and clinical gains are not modeled.</x:v>
      </x:c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</x:row>
    <x:row r="29" ht="23" customHeight="1">
      <x:c r="C29" s="2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</x:row>
    <x:row r="30" ht="25" customHeight="1">
      <x:c r="C30" s="30" t="str">
        <x:v>Funding needed for both stages</x:v>
      </x:c>
      <x:c r="D30" s="31"/>
      <x:c r="E30" s="31"/>
      <x:c r="F30" s="31"/>
      <x:c r="G30" s="31"/>
      <x:c r="H30" s="31"/>
      <x:c r="I30" s="4"/>
      <x:c r="J30" s="4"/>
      <x:c r="K30" s="4"/>
      <x:c r="L30" s="4"/>
      <x:c r="M30" s="4"/>
      <x:c r="N30" s="4"/>
      <x:c r="O30" s="4"/>
      <x:c r="P30" s="4"/>
      <x:c r="Q30" s="4"/>
    </x:row>
    <x:row r="31" ht="32" customHeight="1">
      <x:c r="C31" s="18" t="str">
        <x:v>Throughput target</x:v>
      </x:c>
      <x:c r="D31" s="19" t="str">
        <x:v>Total needed</x:v>
      </x:c>
      <x:c r="E31" s="19" t="str">
        <x:v>Funding gap</x:v>
      </x:c>
      <x:c r="F31" s="19" t="str">
        <x:v>Within $200bn</x:v>
      </x:c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</x:row>
    <x:row r="32" ht="23" customHeight="1">
      <x:c r="C32" s="57" t="n">
        <x:f>'Calculations'!C68</x:f>
        <x:v>2</x:v>
      </x:c>
      <x:c r="D32" s="4" t="n">
        <x:f>'Calculations'!I68</x:f>
        <x:v>32.012805122048825</x:v>
      </x:c>
      <x:c r="E32" s="4" t="n">
        <x:f>'Calculations'!J68</x:f>
        <x:v>0</x:v>
      </x:c>
      <x:c r="F32" s="4" t="str">
        <x:f>'Calculations'!K68</x:f>
        <x:v>Yes</x:v>
      </x:c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</x:row>
    <x:row r="33" ht="23" customHeight="1">
      <x:c r="C33" s="57" t="n">
        <x:f>'Calculations'!C69</x:f>
        <x:v>10</x:v>
      </x:c>
      <x:c r="D33" s="4" t="n">
        <x:f>'Calculations'!I69</x:f>
        <x:v>288.1152460984394</x:v>
      </x:c>
      <x:c r="E33" s="4" t="n">
        <x:f>'Calculations'!J69</x:f>
        <x:v>238.1152460984394</x:v>
      </x:c>
      <x:c r="F33" s="4" t="str">
        <x:f>'Calculations'!K69</x:f>
        <x:v>No</x:v>
      </x:c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</x:row>
    <x:row r="34" ht="23" customHeight="1">
      <x:c r="C34" s="2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</x:row>
    <x:row r="35" ht="23" customHeight="1">
      <x:c r="C35" s="2" t="str">
        <x:v>Input: edit blue cells on Inputs, including the selected coefficient preset.</x:v>
      </x:c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</x:row>
    <x:row r="36" ht="23" customHeight="1">
      <x:c r="C36" s="2" t="str">
        <x:v>Calculation: trace funding, constraints, family responses and the yearly ramp.</x:v>
      </x:c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</x:row>
    <x:row r="37" ht="23" customHeight="1">
      <x:c r="C37" s="2" t="str">
        <x:v>Checks: review terminal reconciliations and input completeness.</x:v>
      </x:c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</x:row>
    <x:row r="38" ht="23" customHeight="1">
      <x:c r="C38" s="2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</x:row>
    <x:row r="39" ht="23" customHeight="1">
      <x:c r="C39" s="2" t="str">
        <x:v>The hypothetical 1x cohort is not the entire global installed LST base.</x:v>
      </x:c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</x:row>
    <x:row r="40" ht="23" customHeight="1">
      <x:c r="C40" s="2" t="str">
        <x:v>Sources establish announced examples and timing. Cost baselines and elasticities remain assumptions.</x:v>
      </x:c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</x:row>
    <x:row r="41" ht="23" customHeight="1">
      <x:c r="C41" s="2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</x:row>
    <x:row r="42" ht="23" customHeight="1">
      <x:c r="C42" s="2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</x:row>
    <x:row r="43" ht="23" customHeight="1">
      <x:c r="C43" s="2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</x:row>
    <x:row r="44" ht="23" customHeight="1">
      <x:c r="C44" s="2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</x:row>
    <x:row r="45" ht="23" customHeight="1">
      <x:c r="C45" s="2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</x:row>
  </x:sheetData>
  <x:conditionalFormatting sqref="D21:E26">
    <x:cfRule type="colorScale" priority="1">
      <x:colorScale>
        <x:cfvo type="min"/>
        <x:cfvo type="percentile" val="50"/>
        <x:cfvo type="max"/>
        <x:color rgb="FFFFFFFF"/>
        <x:color rgb="FFACD4F1"/>
        <x:color rgb="FF7399C6"/>
      </x:colorScale>
    </x:cfRule>
  </x:conditionalFormatting>
  <x:pageMargins left="0.7" right="0.7" top="0.75" bottom="0.75" header="0.3" footer="0.3"/>
  <x:drawing xmlns:r="http://schemas.openxmlformats.org/officeDocument/2006/relationships" r:id="Re47e042a632c4693"/>
</x:worksheet>
</file>

<file path=xl/worksheets/sheet2.xml><?xml version="1.0" encoding="utf-8"?>
<x:worksheet xmlns:x="http://schemas.openxmlformats.org/spreadsheetml/2006/main">
  <x:sheetPr>
    <x:tabColor rgb="FF7399C6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39" hidden="0" customWidth="1"/>
    <x:col min="4" max="4" width="17" hidden="0" customWidth="1"/>
    <x:col min="5" max="5" width="17" hidden="0" customWidth="1"/>
    <x:col min="6" max="6" width="17" hidden="0" customWidth="1"/>
    <x:col min="7" max="7" width="28" hidden="0" customWidth="1"/>
    <x:col min="8" max="8" width="17" hidden="0" customWidth="1"/>
    <x:col min="9" max="9" width="3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</x:cols>
  <x:sheetData>
    <x:row r="2" ht="23" customHeight="1">
      <x:c r="C2" s="60" t="str">
        <x:v>Scenario assumptions</x:v>
      </x:c>
      <x:c r="D2" s="61"/>
      <x:c r="E2" s="61"/>
      <x:c r="F2" s="61"/>
      <x:c r="G2" s="61"/>
      <x:c r="H2" s="61"/>
      <x:c r="I2" s="61"/>
      <x:c r="J2" s="61"/>
      <x:c r="K2" s="61"/>
      <x:c r="L2" s="61"/>
      <x:c r="M2" s="61"/>
      <x:c r="N2" s="61"/>
      <x:c r="O2" s="61"/>
      <x:c r="P2" s="61"/>
      <x:c r="Q2" s="61"/>
    </x:row>
    <x:row r="3" ht="23" customHeight="1">
      <x:c r="C3" s="62" t="str">
        <x:v>Analyst assumptions. The cost baselines and response coefficients are not empirically calibrated.</x:v>
      </x:c>
      <x:c r="D3" s="62"/>
      <x:c r="E3" s="62"/>
      <x:c r="F3" s="62"/>
      <x:c r="G3" s="62"/>
      <x:c r="H3" s="62"/>
      <x:c r="I3" s="61"/>
      <x:c r="J3" s="61"/>
      <x:c r="K3" s="61"/>
      <x:c r="L3" s="61"/>
      <x:c r="M3" s="61"/>
      <x:c r="N3" s="61"/>
      <x:c r="O3" s="61"/>
      <x:c r="P3" s="61"/>
      <x:c r="Q3" s="61"/>
    </x:row>
    <x:row r="4" ht="23" customHeight="1">
      <x:c r="C4" s="63"/>
      <x:c r="D4" s="63"/>
      <x:c r="E4" s="63"/>
      <x:c r="F4" s="63"/>
      <x:c r="G4" s="63"/>
      <x:c r="H4" s="63"/>
      <x:c r="I4" s="61"/>
      <x:c r="J4" s="61"/>
      <x:c r="K4" s="61"/>
      <x:c r="L4" s="61"/>
      <x:c r="M4" s="61"/>
      <x:c r="N4" s="61"/>
      <x:c r="O4" s="61"/>
      <x:c r="P4" s="61"/>
      <x:c r="Q4" s="61"/>
    </x:row>
    <x:row r="5" ht="23" customHeight="1">
      <x:c r="C5" s="2" t="str">
        <x:v>Workflow selector</x:v>
      </x:c>
      <x:c r="D5" s="10" t="n">
        <x:v>1</x:v>
      </x:c>
      <x:c r="E5" s="11" t="str">
        <x:f>CHOOSE(D5,"Protein / antibody discovery","Cell-data / perturbation factory","Small-molecule discovery")</x:f>
        <x:v>Protein / antibody discovery</x:v>
      </x:c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23" customHeight="1">
      <x:c r="C6" s="2" t="str">
        <x:v>Workflow key</x:v>
      </x:c>
      <x:c r="D6" s="4" t="str">
        <x:v>1 = antibody</x:v>
      </x:c>
      <x:c r="E6" s="4" t="str">
        <x:v>2 = cell data</x:v>
      </x:c>
      <x:c r="F6" s="4" t="str">
        <x:v>3 = small molecule</x:v>
      </x:c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</x:row>
    <x:row r="7" ht="23" customHeight="1">
      <x:c r="C7" s="2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</x:row>
    <x:row r="8" ht="32" customHeight="1">
      <x:c r="C8" s="18" t="str">
        <x:v>Global input</x:v>
      </x:c>
      <x:c r="D8" s="19" t="str">
        <x:v>Value</x:v>
      </x:c>
      <x:c r="E8" s="19" t="str">
        <x:v>Units</x:v>
      </x:c>
      <x:c r="F8" s="19" t="str">
        <x:v>Provenance</x:v>
      </x:c>
      <x:c r="G8" s="19" t="str">
        <x:v>Allowed range</x:v>
      </x:c>
      <x:c r="H8" s="4"/>
      <x:c r="I8" s="4"/>
      <x:c r="J8" s="4"/>
      <x:c r="K8" s="4"/>
      <x:c r="L8" s="4"/>
      <x:c r="M8" s="4"/>
      <x:c r="N8" s="4"/>
      <x:c r="O8" s="4"/>
      <x:c r="P8" s="4"/>
      <x:c r="Q8" s="4"/>
    </x:row>
    <x:row r="9" ht="23" customHeight="1">
      <x:c r="C9" s="2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</x:row>
    <x:row r="10" ht="23" customHeight="1">
      <x:c r="C10" s="2" t="str">
        <x:v>Total new program funding</x:v>
      </x:c>
      <x:c r="D10" s="21" t="n">
        <x:v>50</x:v>
      </x:c>
      <x:c r="E10" s="4" t="str">
        <x:v>US$bn</x:v>
      </x:c>
      <x:c r="F10" s="4" t="str">
        <x:v>Analyst assumption</x:v>
      </x:c>
      <x:c r="G10" s="4" t="str">
        <x:v>0 to 200</x:v>
      </x:c>
      <x:c r="H10" s="4"/>
      <x:c r="I10" s="4"/>
      <x:c r="J10" s="4"/>
      <x:c r="K10" s="4"/>
      <x:c r="L10" s="4"/>
      <x:c r="M10" s="4"/>
      <x:c r="N10" s="4"/>
      <x:c r="O10" s="4"/>
      <x:c r="P10" s="4"/>
      <x:c r="Q10" s="4"/>
    </x:row>
    <x:row r="11" ht="23" customHeight="1">
      <x:c r="C11" s="2" t="str">
        <x:v>Deployment period</x:v>
      </x:c>
      <x:c r="D11" s="22" t="n">
        <x:v>5</x:v>
      </x:c>
      <x:c r="E11" s="4" t="str">
        <x:v>years</x:v>
      </x:c>
      <x:c r="F11" s="4" t="str">
        <x:v>Analyst assumption</x:v>
      </x:c>
      <x:c r="G11" s="4" t="str">
        <x:v>2 to 5</x:v>
      </x:c>
      <x:c r="H11" s="4"/>
      <x:c r="I11" s="4"/>
      <x:c r="J11" s="4"/>
      <x:c r="K11" s="4"/>
      <x:c r="L11" s="4"/>
      <x:c r="M11" s="4"/>
      <x:c r="N11" s="4"/>
      <x:c r="O11" s="4"/>
      <x:c r="P11" s="4"/>
      <x:c r="Q11" s="4"/>
    </x:row>
    <x:row r="12" ht="23" customHeight="1">
      <x:c r="C12" s="2" t="str">
        <x:v>Wet-lab share of program funding</x:v>
      </x:c>
      <x:c r="D12" s="65" t="n">
        <x:v>0.35</x:v>
      </x:c>
      <x:c r="E12" s="4" t="str">
        <x:v>fraction</x:v>
      </x:c>
      <x:c r="F12" s="4" t="str">
        <x:v>Analyst assumption</x:v>
      </x:c>
      <x:c r="G12" s="4" t="str">
        <x:v>0 to 1</x:v>
      </x:c>
      <x:c r="H12" s="4"/>
      <x:c r="I12" s="4"/>
      <x:c r="J12" s="4"/>
      <x:c r="K12" s="4"/>
      <x:c r="L12" s="4"/>
      <x:c r="M12" s="4"/>
      <x:c r="N12" s="4"/>
      <x:c r="O12" s="4"/>
      <x:c r="P12" s="4"/>
      <x:c r="Q12" s="4"/>
    </x:row>
    <x:row r="13" ht="23" customHeight="1">
      <x:c r="C13" s="2" t="str">
        <x:v>Equipment share within wet lab</x:v>
      </x:c>
      <x:c r="D13" s="65" t="n">
        <x:v>0.45</x:v>
      </x:c>
      <x:c r="E13" s="4" t="str">
        <x:v>fraction</x:v>
      </x:c>
      <x:c r="F13" s="4" t="str">
        <x:v>Analyst assumption</x:v>
      </x:c>
      <x:c r="G13" s="4" t="str">
        <x:v>0 to 1</x:v>
      </x:c>
      <x:c r="H13" s="4"/>
      <x:c r="I13" s="4"/>
      <x:c r="J13" s="4"/>
      <x:c r="K13" s="4"/>
      <x:c r="L13" s="4"/>
      <x:c r="M13" s="4"/>
      <x:c r="N13" s="4"/>
      <x:c r="O13" s="4"/>
      <x:c r="P13" s="4"/>
      <x:c r="Q13" s="4"/>
    </x:row>
    <x:row r="14" ht="23" customHeight="1">
      <x:c r="C14" s="2" t="str">
        <x:v>Test share; Build is the remainder</x:v>
      </x:c>
      <x:c r="D14" s="65" t="n">
        <x:v>0.65</x:v>
      </x:c>
      <x:c r="E14" s="4" t="str">
        <x:v>fraction</x:v>
      </x:c>
      <x:c r="F14" s="4" t="str">
        <x:v>Analyst assumption</x:v>
      </x:c>
      <x:c r="G14" s="4" t="str">
        <x:v>0 to 1</x:v>
      </x:c>
      <x:c r="H14" s="4"/>
      <x:c r="I14" s="4"/>
      <x:c r="J14" s="4"/>
      <x:c r="K14" s="4"/>
      <x:c r="L14" s="4"/>
      <x:c r="M14" s="4"/>
      <x:c r="N14" s="4"/>
      <x:c r="O14" s="4"/>
      <x:c r="P14" s="4"/>
      <x:c r="Q14" s="4"/>
    </x:row>
    <x:row r="15" ht="23" customHeight="1">
      <x:c r="C15" s="2" t="str">
        <x:v>Build reference equipment stock</x:v>
      </x:c>
      <x:c r="D15" s="21" t="n">
        <x:v>1.5</x:v>
      </x:c>
      <x:c r="E15" s="4" t="str">
        <x:v>US$bn</x:v>
      </x:c>
      <x:c r="F15" s="4" t="str">
        <x:v>Analyst assumption</x:v>
      </x:c>
      <x:c r="G15" s="4" t="str">
        <x:v>0.1 to 20</x:v>
      </x:c>
      <x:c r="H15" s="4"/>
      <x:c r="I15" s="4"/>
      <x:c r="J15" s="4"/>
      <x:c r="K15" s="4"/>
      <x:c r="L15" s="4"/>
      <x:c r="M15" s="4"/>
      <x:c r="N15" s="4"/>
      <x:c r="O15" s="4"/>
      <x:c r="P15" s="4"/>
      <x:c r="Q15" s="4"/>
    </x:row>
    <x:row r="16" ht="23" customHeight="1">
      <x:c r="C16" s="2" t="str">
        <x:v>Test reference equipment stock</x:v>
      </x:c>
      <x:c r="D16" s="21" t="n">
        <x:v>2.5</x:v>
      </x:c>
      <x:c r="E16" s="4" t="str">
        <x:v>US$bn</x:v>
      </x:c>
      <x:c r="F16" s="4" t="str">
        <x:v>Analyst assumption</x:v>
      </x:c>
      <x:c r="G16" s="4" t="str">
        <x:v>0.1 to 20</x:v>
      </x:c>
      <x:c r="H16" s="4"/>
      <x:c r="I16" s="4"/>
      <x:c r="J16" s="4"/>
      <x:c r="K16" s="4"/>
      <x:c r="L16" s="4"/>
      <x:c r="M16" s="4"/>
      <x:c r="N16" s="4"/>
      <x:c r="O16" s="4"/>
      <x:c r="P16" s="4"/>
      <x:c r="Q16" s="4"/>
    </x:row>
    <x:row r="17" ht="23" customHeight="1">
      <x:c r="C17" s="2" t="str">
        <x:v>Build reference annual lab costs</x:v>
      </x:c>
      <x:c r="D17" s="21" t="n">
        <x:v>0.35</x:v>
      </x:c>
      <x:c r="E17" s="4" t="str">
        <x:v>US$bn/year</x:v>
      </x:c>
      <x:c r="F17" s="4" t="str">
        <x:v>Analyst assumption</x:v>
      </x:c>
      <x:c r="G17" s="4" t="str">
        <x:v>0.05 to 10</x:v>
      </x:c>
      <x:c r="H17" s="4"/>
      <x:c r="I17" s="4"/>
      <x:c r="J17" s="4"/>
      <x:c r="K17" s="4"/>
      <x:c r="L17" s="4"/>
      <x:c r="M17" s="4"/>
      <x:c r="N17" s="4"/>
      <x:c r="O17" s="4"/>
      <x:c r="P17" s="4"/>
      <x:c r="Q17" s="4"/>
    </x:row>
    <x:row r="18" ht="23" customHeight="1">
      <x:c r="C18" s="2" t="str">
        <x:v>Test reference annual lab costs</x:v>
      </x:c>
      <x:c r="D18" s="21" t="n">
        <x:v>0.55</x:v>
      </x:c>
      <x:c r="E18" s="4" t="str">
        <x:v>US$bn/year</x:v>
      </x:c>
      <x:c r="F18" s="4" t="str">
        <x:v>Analyst assumption</x:v>
      </x:c>
      <x:c r="G18" s="4" t="str">
        <x:v>0.05 to 10</x:v>
      </x:c>
      <x:c r="H18" s="4"/>
      <x:c r="I18" s="4"/>
      <x:c r="J18" s="4"/>
      <x:c r="K18" s="4"/>
      <x:c r="L18" s="4"/>
      <x:c r="M18" s="4"/>
      <x:c r="N18" s="4"/>
      <x:c r="O18" s="4"/>
      <x:c r="P18" s="4"/>
      <x:c r="Q18" s="4"/>
    </x:row>
    <x:row r="19" ht="23" customHeight="1">
      <x:c r="C19" s="2" t="str">
        <x:v>Incremental rollout realization</x:v>
      </x:c>
      <x:c r="D19" s="65" t="n">
        <x:v>0.85</x:v>
      </x:c>
      <x:c r="E19" s="4" t="str">
        <x:v>fraction</x:v>
      </x:c>
      <x:c r="F19" s="4" t="str">
        <x:v>Analyst assumption</x:v>
      </x:c>
      <x:c r="G19" s="4" t="str">
        <x:v>0 to 1</x:v>
      </x:c>
      <x:c r="H19" s="4"/>
      <x:c r="I19" s="4"/>
      <x:c r="J19" s="4"/>
      <x:c r="K19" s="4"/>
      <x:c r="L19" s="4"/>
      <x:c r="M19" s="4"/>
      <x:c r="N19" s="4"/>
      <x:c r="O19" s="4"/>
      <x:c r="P19" s="4"/>
      <x:c r="Q19" s="4"/>
    </x:row>
    <x:row r="20" ht="23" customHeight="1">
      <x:c r="C20" s="2" t="str">
        <x:v>Incremental productivity per dollar</x:v>
      </x:c>
      <x:c r="D20" s="21" t="n">
        <x:v>1</x:v>
      </x:c>
      <x:c r="E20" s="4" t="str">
        <x:v>ratio</x:v>
      </x:c>
      <x:c r="F20" s="4" t="str">
        <x:v>Analyst assumption</x:v>
      </x:c>
      <x:c r="G20" s="4" t="str">
        <x:v>0.5 to 3</x:v>
      </x:c>
      <x:c r="H20" s="4"/>
      <x:c r="I20" s="4"/>
      <x:c r="J20" s="4"/>
      <x:c r="K20" s="4"/>
      <x:c r="L20" s="4"/>
      <x:c r="M20" s="4"/>
      <x:c r="N20" s="4"/>
      <x:c r="O20" s="4"/>
      <x:c r="P20" s="4"/>
      <x:c r="Q20" s="4"/>
    </x:row>
    <x:row r="21" ht="23" customHeight="1">
      <x:c r="C21" s="2" t="str">
        <x:v>Commissioning lag</x:v>
      </x:c>
      <x:c r="D21" s="21" t="n">
        <x:v>0</x:v>
      </x:c>
      <x:c r="E21" s="4" t="str">
        <x:v>years</x:v>
      </x:c>
      <x:c r="F21" s="4" t="str">
        <x:v>Analyst assumption</x:v>
      </x:c>
      <x:c r="G21" s="4" t="str">
        <x:v>0 to 5</x:v>
      </x:c>
      <x:c r="H21" s="4"/>
      <x:c r="I21" s="4"/>
      <x:c r="J21" s="4"/>
      <x:c r="K21" s="4"/>
      <x:c r="L21" s="4"/>
      <x:c r="M21" s="4"/>
      <x:c r="N21" s="4"/>
      <x:c r="O21" s="4"/>
      <x:c r="P21" s="4"/>
      <x:c r="Q21" s="4"/>
    </x:row>
    <x:row r="22" ht="23" customHeight="1">
      <x:c r="C22" s="2" t="str">
        <x:v>Lab / analytical purification share</x:v>
      </x:c>
      <x:c r="D22" s="65" t="n">
        <x:v>0.35</x:v>
      </x:c>
      <x:c r="E22" s="4" t="str">
        <x:v>fraction</x:v>
      </x:c>
      <x:c r="F22" s="4" t="str">
        <x:v>Analyst assumption</x:v>
      </x:c>
      <x:c r="G22" s="4" t="str">
        <x:v>0 to 1</x:v>
      </x:c>
      <x:c r="H22" s="4"/>
      <x:c r="I22" s="4"/>
      <x:c r="J22" s="4"/>
      <x:c r="K22" s="4"/>
      <x:c r="L22" s="4"/>
      <x:c r="M22" s="4"/>
      <x:c r="N22" s="4"/>
      <x:c r="O22" s="4"/>
      <x:c r="P22" s="4"/>
      <x:c r="Q22" s="4"/>
    </x:row>
    <x:row r="23" ht="23" customHeight="1">
      <x:c r="C23" s="2" t="str">
        <x:v>Manufacturing growth pass-through</x:v>
      </x:c>
      <x:c r="D23" s="65" t="n">
        <x:v>0</x:v>
      </x:c>
      <x:c r="E23" s="4" t="str">
        <x:v>fraction</x:v>
      </x:c>
      <x:c r="F23" s="4" t="str">
        <x:v>Analyst assumption</x:v>
      </x:c>
      <x:c r="G23" s="4" t="str">
        <x:v>0 to 1</x:v>
      </x:c>
      <x:c r="H23" s="4"/>
      <x:c r="I23" s="4"/>
      <x:c r="J23" s="4"/>
      <x:c r="K23" s="4"/>
      <x:c r="L23" s="4"/>
      <x:c r="M23" s="4"/>
      <x:c r="N23" s="4"/>
      <x:c r="O23" s="4"/>
      <x:c r="P23" s="4"/>
      <x:c r="Q23" s="4"/>
    </x:row>
    <x:row r="24" ht="23" customHeight="1">
      <x:c r="C24" s="2" t="str">
        <x:v>Desired target floor</x:v>
      </x:c>
      <x:c r="D24" s="24" t="n">
        <x:v>2</x:v>
      </x:c>
      <x:c r="E24" s="4" t="str">
        <x:v>multiple</x:v>
      </x:c>
      <x:c r="F24" s="4" t="str">
        <x:v>Fixed web-model rule</x:v>
      </x:c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</x:row>
    <x:row r="25" ht="23" customHeight="1">
      <x:c r="C25" s="2" t="str">
        <x:v>Reference-cohort ceiling</x:v>
      </x:c>
      <x:c r="D25" s="24" t="n">
        <x:v>10</x:v>
      </x:c>
      <x:c r="E25" s="4" t="str">
        <x:v>multiple</x:v>
      </x:c>
      <x:c r="F25" s="4" t="str">
        <x:v>Fixed web-model rule</x:v>
      </x:c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</x:row>
    <x:row r="26" ht="23" customHeight="1">
      <x:c r="C26" s="2" t="str">
        <x:v>Manufacturing response exponent</x:v>
      </x:c>
      <x:c r="D26" s="24" t="n">
        <x:v>0.2</x:v>
      </x:c>
      <x:c r="E26" s="4" t="str">
        <x:v>exponent</x:v>
      </x:c>
      <x:c r="F26" s="4" t="str">
        <x:v>Fixed web-model rule</x:v>
      </x:c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</x:row>
    <x:row r="27" ht="23" customHeight="1">
      <x:c r="C27" s="2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</x:row>
    <x:row r="28" ht="23" customHeight="1">
      <x:c r="C28" s="2" t="str">
        <x:v>Global input status</x:v>
      </x:c>
      <x:c r="D28" s="26" t="str">
        <x:f>IF(COUNT(D5,D10:D26)&lt;&gt;18,"Missing numeric input",IF(AND(D5&gt;=1,D5&lt;=3,MOD(D5,1)=0,AND(D10&gt;=0,D10&lt;=200),AND(D11&gt;=2,D11&lt;=5,MOD(D11,1)=0),AND(D12&gt;=0,D12&lt;=1),AND(D13&gt;=0,D13&lt;=1),AND(D14&gt;=0,D14&lt;=1),AND(D15&gt;=0.1,D15&lt;=20),AND(D16&gt;=0.1,D16&lt;=20),AND(D17&gt;=0.05,D17&lt;=10),AND(D18&gt;=0.05,D18&lt;=10),AND(D19&gt;=0,D19&lt;=1),AND(D20&gt;=0.5,D20&lt;=3),AND(D21&gt;=0,D21&lt;=5),AND(D22&gt;=0,D22&lt;=1),AND(D23&gt;=0,D23&lt;=1),D24=2,D25=10,D26=0.2),"Valid","Out-of-range input"))</x:f>
        <x:v>Valid</x:v>
      </x:c>
      <x:c r="E28" s="27"/>
      <x:c r="F28" s="27"/>
      <x:c r="G28" s="27"/>
      <x:c r="H28" s="27"/>
      <x:c r="I28" s="4"/>
      <x:c r="J28" s="4"/>
      <x:c r="K28" s="4"/>
      <x:c r="L28" s="4"/>
      <x:c r="M28" s="4"/>
      <x:c r="N28" s="4"/>
      <x:c r="O28" s="4"/>
      <x:c r="P28" s="4"/>
      <x:c r="Q28" s="4"/>
    </x:row>
    <x:row r="29" ht="23" customHeight="1">
      <x:c r="C29" s="2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</x:row>
    <x:row r="30" ht="25" customHeight="1">
      <x:c r="C30" s="30" t="str">
        <x:v>Active coefficients</x:v>
      </x:c>
      <x:c r="D30" s="31"/>
      <x:c r="E30" s="31"/>
      <x:c r="F30" s="31"/>
      <x:c r="G30" s="31"/>
      <x:c r="H30" s="4"/>
      <x:c r="I30" s="4"/>
      <x:c r="J30" s="4"/>
      <x:c r="K30" s="4"/>
      <x:c r="L30" s="4"/>
      <x:c r="M30" s="4"/>
      <x:c r="N30" s="4"/>
      <x:c r="O30" s="4"/>
      <x:c r="P30" s="4"/>
      <x:c r="Q30" s="4"/>
    </x:row>
    <x:row r="31" ht="32" customHeight="1">
      <x:c r="C31" s="18" t="str">
        <x:v>Family</x:v>
      </x:c>
      <x:c r="D31" s="19" t="str">
        <x:v>Build weight</x:v>
      </x:c>
      <x:c r="E31" s="19" t="str">
        <x:v>Response exponent</x:v>
      </x:c>
      <x:c r="F31" s="19" t="str">
        <x:v>Incremental price</x:v>
      </x:c>
      <x:c r="G31" s="19" t="str">
        <x:v>AI exposure</x:v>
      </x:c>
      <x:c r="H31" s="4"/>
      <x:c r="I31" s="4"/>
      <x:c r="J31" s="4"/>
      <x:c r="K31" s="4"/>
      <x:c r="L31" s="4"/>
      <x:c r="M31" s="4"/>
      <x:c r="N31" s="4"/>
      <x:c r="O31" s="4"/>
      <x:c r="P31" s="4"/>
      <x:c r="Q31" s="4"/>
    </x:row>
    <x:row r="32" ht="23" customHeight="1">
      <x:c r="C32" s="2" t="str">
        <x:v>Molecular construction</x:v>
      </x:c>
      <x:c r="D32" s="32" t="n">
        <x:f>CHOOSE($D$5,D43,D53,D63)</x:f>
        <x:v>1</x:v>
      </x:c>
      <x:c r="E32" s="33" t="n">
        <x:f>CHOOSE($D$5,E43,E53,E63)</x:f>
        <x:v>0.9</x:v>
      </x:c>
      <x:c r="F32" s="33" t="n">
        <x:f>CHOOSE($D$5,F43,F53,F63)</x:f>
        <x:v>1</x:v>
      </x:c>
      <x:c r="G32" s="32" t="n">
        <x:f>CHOOSE($D$5,G43,G53,G63)</x:f>
        <x:v>0.12</x:v>
      </x:c>
      <x:c r="H32" s="4"/>
      <x:c r="I32" s="4"/>
      <x:c r="J32" s="4"/>
      <x:c r="K32" s="4"/>
      <x:c r="L32" s="4"/>
      <x:c r="M32" s="4"/>
      <x:c r="N32" s="4"/>
      <x:c r="O32" s="4"/>
      <x:c r="P32" s="4"/>
      <x:c r="Q32" s="4"/>
    </x:row>
    <x:row r="33" ht="23" customHeight="1">
      <x:c r="C33" s="2" t="str">
        <x:v>Protein &amp; functional assays</x:v>
      </x:c>
      <x:c r="D33" s="32" t="n">
        <x:f>CHOOSE($D$5,D44,D54,D64)</x:f>
        <x:v>0.15</x:v>
      </x:c>
      <x:c r="E33" s="33" t="n">
        <x:f>CHOOSE($D$5,E44,E54,E64)</x:f>
        <x:v>0.95</x:v>
      </x:c>
      <x:c r="F33" s="33" t="n">
        <x:f>CHOOSE($D$5,F44,F54,F64)</x:f>
        <x:v>1</x:v>
      </x:c>
      <x:c r="G33" s="32" t="n">
        <x:f>CHOOSE($D$5,G44,G54,G64)</x:f>
        <x:v>0.2</x:v>
      </x:c>
      <x:c r="H33" s="4"/>
      <x:c r="I33" s="4"/>
      <x:c r="J33" s="4"/>
      <x:c r="K33" s="4"/>
      <x:c r="L33" s="4"/>
      <x:c r="M33" s="4"/>
      <x:c r="N33" s="4"/>
      <x:c r="O33" s="4"/>
      <x:c r="P33" s="4"/>
      <x:c r="Q33" s="4"/>
    </x:row>
    <x:row r="34" ht="23" customHeight="1">
      <x:c r="C34" s="2" t="str">
        <x:v>Cells &amp; culture systems</x:v>
      </x:c>
      <x:c r="D34" s="32" t="n">
        <x:f>CHOOSE($D$5,D45,D55,D65)</x:f>
        <x:v>0.1</x:v>
      </x:c>
      <x:c r="E34" s="33" t="n">
        <x:f>CHOOSE($D$5,E45,E55,E65)</x:f>
        <x:v>0.75</x:v>
      </x:c>
      <x:c r="F34" s="33" t="n">
        <x:f>CHOOSE($D$5,F45,F55,F65)</x:f>
        <x:v>1</x:v>
      </x:c>
      <x:c r="G34" s="32" t="n">
        <x:f>CHOOSE($D$5,G45,G55,G65)</x:f>
        <x:v>0.1</x:v>
      </x:c>
      <x:c r="H34" s="4"/>
      <x:c r="I34" s="4"/>
      <x:c r="J34" s="4"/>
      <x:c r="K34" s="4"/>
      <x:c r="L34" s="4"/>
      <x:c r="M34" s="4"/>
      <x:c r="N34" s="4"/>
      <x:c r="O34" s="4"/>
      <x:c r="P34" s="4"/>
      <x:c r="Q34" s="4"/>
    </x:row>
    <x:row r="35" ht="23" customHeight="1">
      <x:c r="C35" s="2" t="str">
        <x:v>Labware &amp; sample handling</x:v>
      </x:c>
      <x:c r="D35" s="32" t="n">
        <x:f>CHOOSE($D$5,D46,D56,D66)</x:f>
        <x:v>0.35</x:v>
      </x:c>
      <x:c r="E35" s="33" t="n">
        <x:f>CHOOSE($D$5,E46,E56,E66)</x:f>
        <x:v>0.4</x:v>
      </x:c>
      <x:c r="F35" s="33" t="n">
        <x:f>CHOOSE($D$5,F46,F56,F66)</x:f>
        <x:v>1</x:v>
      </x:c>
      <x:c r="G35" s="32" t="n">
        <x:f>CHOOSE($D$5,G46,G56,G66)</x:f>
        <x:v>0.08</x:v>
      </x:c>
      <x:c r="H35" s="4"/>
      <x:c r="I35" s="4"/>
      <x:c r="J35" s="4"/>
      <x:c r="K35" s="4"/>
      <x:c r="L35" s="4"/>
      <x:c r="M35" s="4"/>
      <x:c r="N35" s="4"/>
      <x:c r="O35" s="4"/>
      <x:c r="P35" s="4"/>
      <x:c r="Q35" s="4"/>
    </x:row>
    <x:row r="36" ht="23" customHeight="1">
      <x:c r="C36" s="2" t="str">
        <x:v>Measurement &amp; analytics</x:v>
      </x:c>
      <x:c r="D36" s="32" t="n">
        <x:f>CHOOSE($D$5,D47,D57,D67)</x:f>
        <x:v>0.05</x:v>
      </x:c>
      <x:c r="E36" s="33" t="n">
        <x:f>CHOOSE($D$5,E47,E57,E67)</x:f>
        <x:v>0.7</x:v>
      </x:c>
      <x:c r="F36" s="33" t="n">
        <x:f>CHOOSE($D$5,F47,F57,F67)</x:f>
        <x:v>1</x:v>
      </x:c>
      <x:c r="G36" s="32" t="n">
        <x:f>CHOOSE($D$5,G47,G57,G67)</x:f>
        <x:v>0.12</x:v>
      </x:c>
      <x:c r="H36" s="4"/>
      <x:c r="I36" s="4"/>
      <x:c r="J36" s="4"/>
      <x:c r="K36" s="4"/>
      <x:c r="L36" s="4"/>
      <x:c r="M36" s="4"/>
      <x:c r="N36" s="4"/>
      <x:c r="O36" s="4"/>
      <x:c r="P36" s="4"/>
      <x:c r="Q36" s="4"/>
    </x:row>
    <x:row r="37" ht="23" customHeight="1">
      <x:c r="C37" s="2" t="str">
        <x:v>Purification &amp; scale-up</x:v>
      </x:c>
      <x:c r="D37" s="32" t="n">
        <x:f>CHOOSE($D$5,D48,D58,D68)</x:f>
        <x:v>0.6</x:v>
      </x:c>
      <x:c r="E37" s="33" t="n">
        <x:f>CHOOSE($D$5,E48,E58,E68)</x:f>
        <x:v>0.5</x:v>
      </x:c>
      <x:c r="F37" s="33" t="n">
        <x:f>CHOOSE($D$5,F48,F58,F68)</x:f>
        <x:v>1</x:v>
      </x:c>
      <x:c r="G37" s="32" t="n">
        <x:f>CHOOSE($D$5,G48,G58,G68)</x:f>
        <x:v>0.06</x:v>
      </x:c>
      <x:c r="H37" s="4"/>
      <x:c r="I37" s="4"/>
      <x:c r="J37" s="4"/>
      <x:c r="K37" s="4"/>
      <x:c r="L37" s="4"/>
      <x:c r="M37" s="4"/>
      <x:c r="N37" s="4"/>
      <x:c r="O37" s="4"/>
      <x:c r="P37" s="4"/>
      <x:c r="Q37" s="4"/>
    </x:row>
    <x:row r="38" ht="23" customHeight="1">
      <x:c r="C38" s="2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</x:row>
    <x:row r="39" ht="23" customHeight="1">
      <x:c r="C39" s="2" t="str">
        <x:v>Selected coefficient status</x:v>
      </x:c>
      <x:c r="D39" s="25" t="str">
        <x:f>IF($D$28&lt;&gt;"Valid","Invalid global inputs",IF(CHOOSE($D$5,COUNT(D43:G48),COUNT(D53:G58),COUNT(D63:G68))&lt;&gt;24,"Missing coefficient",IF(AND(MIN(D32:D37)&gt;=0,MAX(D32:D37)&lt;=1,MIN(E32:E37)&gt;=0,MAX(E32:E37)&lt;=1.5,MIN(F32:F37)&gt;=0.1,MAX(F32:F37)&lt;=2,MIN(G32:G37)&gt;=0,MAX(G32:G37)&lt;=1),"Valid","Out-of-range coefficient")))</x:f>
        <x:v>Valid</x:v>
      </x:c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</x:row>
    <x:row r="40" ht="23" customHeight="1">
      <x:c r="C40" s="2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</x:row>
    <x:row r="41" ht="25" customHeight="1">
      <x:c r="C41" s="30" t="str">
        <x:v>Protein / antibody discovery</x:v>
      </x:c>
      <x:c r="D41" s="31"/>
      <x:c r="E41" s="31"/>
      <x:c r="F41" s="31"/>
      <x:c r="G41" s="31"/>
      <x:c r="H41" s="4"/>
      <x:c r="I41" s="4"/>
      <x:c r="J41" s="4"/>
      <x:c r="K41" s="4"/>
      <x:c r="L41" s="4"/>
      <x:c r="M41" s="4"/>
      <x:c r="N41" s="4"/>
      <x:c r="O41" s="4"/>
      <x:c r="P41" s="4"/>
      <x:c r="Q41" s="4"/>
    </x:row>
    <x:row r="42" ht="32" customHeight="1">
      <x:c r="C42" s="18" t="str">
        <x:v>Editable preset</x:v>
      </x:c>
      <x:c r="D42" s="19" t="str">
        <x:v>Build weight</x:v>
      </x:c>
      <x:c r="E42" s="19" t="str">
        <x:v>Response exponent</x:v>
      </x:c>
      <x:c r="F42" s="19" t="str">
        <x:v>Incremental price</x:v>
      </x:c>
      <x:c r="G42" s="19" t="str">
        <x:v>AI exposure</x:v>
      </x:c>
      <x:c r="H42" s="4"/>
      <x:c r="I42" s="4"/>
      <x:c r="J42" s="4"/>
      <x:c r="K42" s="4"/>
      <x:c r="L42" s="4"/>
      <x:c r="M42" s="4"/>
      <x:c r="N42" s="4"/>
      <x:c r="O42" s="4"/>
      <x:c r="P42" s="4"/>
      <x:c r="Q42" s="4"/>
    </x:row>
    <x:row r="43" ht="23" customHeight="1">
      <x:c r="C43" s="2" t="str">
        <x:v>Molecular construction</x:v>
      </x:c>
      <x:c r="D43" s="23" t="n">
        <x:v>1</x:v>
      </x:c>
      <x:c r="E43" s="34" t="n">
        <x:v>0.9</x:v>
      </x:c>
      <x:c r="F43" s="34" t="n">
        <x:v>1</x:v>
      </x:c>
      <x:c r="G43" s="23" t="n">
        <x:v>0.12</x:v>
      </x:c>
      <x:c r="H43" s="4"/>
      <x:c r="I43" s="4"/>
      <x:c r="J43" s="4"/>
      <x:c r="K43" s="4"/>
      <x:c r="L43" s="4"/>
      <x:c r="M43" s="4"/>
      <x:c r="N43" s="4"/>
      <x:c r="O43" s="4"/>
      <x:c r="P43" s="4"/>
      <x:c r="Q43" s="4"/>
    </x:row>
    <x:row r="44" ht="23" customHeight="1">
      <x:c r="C44" s="2" t="str">
        <x:v>Protein &amp; functional assays</x:v>
      </x:c>
      <x:c r="D44" s="23" t="n">
        <x:v>0.15</x:v>
      </x:c>
      <x:c r="E44" s="34" t="n">
        <x:v>0.95</x:v>
      </x:c>
      <x:c r="F44" s="34" t="n">
        <x:v>1</x:v>
      </x:c>
      <x:c r="G44" s="23" t="n">
        <x:v>0.2</x:v>
      </x:c>
      <x:c r="H44" s="4"/>
      <x:c r="I44" s="4"/>
      <x:c r="J44" s="4"/>
      <x:c r="K44" s="4"/>
      <x:c r="L44" s="4"/>
      <x:c r="M44" s="4"/>
      <x:c r="N44" s="4"/>
      <x:c r="O44" s="4"/>
      <x:c r="P44" s="4"/>
      <x:c r="Q44" s="4"/>
    </x:row>
    <x:row r="45" ht="23" customHeight="1">
      <x:c r="C45" s="2" t="str">
        <x:v>Cells &amp; culture systems</x:v>
      </x:c>
      <x:c r="D45" s="23" t="n">
        <x:v>0.1</x:v>
      </x:c>
      <x:c r="E45" s="34" t="n">
        <x:v>0.75</x:v>
      </x:c>
      <x:c r="F45" s="34" t="n">
        <x:v>1</x:v>
      </x:c>
      <x:c r="G45" s="23" t="n">
        <x:v>0.1</x:v>
      </x:c>
      <x:c r="H45" s="4"/>
      <x:c r="I45" s="4"/>
      <x:c r="J45" s="4"/>
      <x:c r="K45" s="4"/>
      <x:c r="L45" s="4"/>
      <x:c r="M45" s="4"/>
      <x:c r="N45" s="4"/>
      <x:c r="O45" s="4"/>
      <x:c r="P45" s="4"/>
      <x:c r="Q45" s="4"/>
    </x:row>
    <x:row r="46" ht="23" customHeight="1">
      <x:c r="C46" s="2" t="str">
        <x:v>Labware &amp; sample handling</x:v>
      </x:c>
      <x:c r="D46" s="23" t="n">
        <x:v>0.35</x:v>
      </x:c>
      <x:c r="E46" s="34" t="n">
        <x:v>0.4</x:v>
      </x:c>
      <x:c r="F46" s="34" t="n">
        <x:v>1</x:v>
      </x:c>
      <x:c r="G46" s="23" t="n">
        <x:v>0.08</x:v>
      </x:c>
      <x:c r="H46" s="4"/>
      <x:c r="I46" s="4"/>
      <x:c r="J46" s="4"/>
      <x:c r="K46" s="4"/>
      <x:c r="L46" s="4"/>
      <x:c r="M46" s="4"/>
      <x:c r="N46" s="4"/>
      <x:c r="O46" s="4"/>
      <x:c r="P46" s="4"/>
      <x:c r="Q46" s="4"/>
    </x:row>
    <x:row r="47" ht="23" customHeight="1">
      <x:c r="C47" s="2" t="str">
        <x:v>Measurement &amp; analytics</x:v>
      </x:c>
      <x:c r="D47" s="23" t="n">
        <x:v>0.05</x:v>
      </x:c>
      <x:c r="E47" s="34" t="n">
        <x:v>0.7</x:v>
      </x:c>
      <x:c r="F47" s="34" t="n">
        <x:v>1</x:v>
      </x:c>
      <x:c r="G47" s="23" t="n">
        <x:v>0.12</x:v>
      </x:c>
      <x:c r="H47" s="4"/>
      <x:c r="I47" s="4"/>
      <x:c r="J47" s="4"/>
      <x:c r="K47" s="4"/>
      <x:c r="L47" s="4"/>
      <x:c r="M47" s="4"/>
      <x:c r="N47" s="4"/>
      <x:c r="O47" s="4"/>
      <x:c r="P47" s="4"/>
      <x:c r="Q47" s="4"/>
    </x:row>
    <x:row r="48" ht="23" customHeight="1">
      <x:c r="C48" s="2" t="str">
        <x:v>Purification &amp; scale-up</x:v>
      </x:c>
      <x:c r="D48" s="23" t="n">
        <x:v>0.6</x:v>
      </x:c>
      <x:c r="E48" s="34" t="n">
        <x:v>0.5</x:v>
      </x:c>
      <x:c r="F48" s="34" t="n">
        <x:v>1</x:v>
      </x:c>
      <x:c r="G48" s="23" t="n">
        <x:v>0.06</x:v>
      </x:c>
      <x:c r="H48" s="4"/>
      <x:c r="I48" s="4"/>
      <x:c r="J48" s="4"/>
      <x:c r="K48" s="4"/>
      <x:c r="L48" s="4"/>
      <x:c r="M48" s="4"/>
      <x:c r="N48" s="4"/>
      <x:c r="O48" s="4"/>
      <x:c r="P48" s="4"/>
      <x:c r="Q48" s="4"/>
    </x:row>
    <x:row r="49" ht="23" customHeight="1">
      <x:c r="C49" s="2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</x:row>
    <x:row r="50" ht="23" customHeight="1">
      <x:c r="C50" s="2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</x:row>
    <x:row r="51" ht="25" customHeight="1">
      <x:c r="C51" s="30" t="str">
        <x:v>Cell-data / perturbation factory</x:v>
      </x:c>
      <x:c r="D51" s="31"/>
      <x:c r="E51" s="31"/>
      <x:c r="F51" s="31"/>
      <x:c r="G51" s="31"/>
      <x:c r="H51" s="4"/>
      <x:c r="I51" s="4"/>
      <x:c r="J51" s="4"/>
      <x:c r="K51" s="4"/>
      <x:c r="L51" s="4"/>
      <x:c r="M51" s="4"/>
      <x:c r="N51" s="4"/>
      <x:c r="O51" s="4"/>
      <x:c r="P51" s="4"/>
      <x:c r="Q51" s="4"/>
    </x:row>
    <x:row r="52" ht="32" customHeight="1">
      <x:c r="C52" s="18" t="str">
        <x:v>Editable preset</x:v>
      </x:c>
      <x:c r="D52" s="19" t="str">
        <x:v>Build weight</x:v>
      </x:c>
      <x:c r="E52" s="19" t="str">
        <x:v>Response exponent</x:v>
      </x:c>
      <x:c r="F52" s="19" t="str">
        <x:v>Incremental price</x:v>
      </x:c>
      <x:c r="G52" s="19" t="str">
        <x:v>AI exposure</x:v>
      </x:c>
      <x:c r="H52" s="4"/>
      <x:c r="I52" s="4"/>
      <x:c r="J52" s="4"/>
      <x:c r="K52" s="4"/>
      <x:c r="L52" s="4"/>
      <x:c r="M52" s="4"/>
      <x:c r="N52" s="4"/>
      <x:c r="O52" s="4"/>
      <x:c r="P52" s="4"/>
      <x:c r="Q52" s="4"/>
    </x:row>
    <x:row r="53" ht="23" customHeight="1">
      <x:c r="C53" s="2" t="str">
        <x:v>Molecular construction</x:v>
      </x:c>
      <x:c r="D53" s="23" t="n">
        <x:v>0.75</x:v>
      </x:c>
      <x:c r="E53" s="34" t="n">
        <x:v>0.8</x:v>
      </x:c>
      <x:c r="F53" s="34" t="n">
        <x:v>1</x:v>
      </x:c>
      <x:c r="G53" s="23" t="n">
        <x:v>0.12</x:v>
      </x:c>
      <x:c r="H53" s="4"/>
      <x:c r="I53" s="4"/>
      <x:c r="J53" s="4"/>
      <x:c r="K53" s="4"/>
      <x:c r="L53" s="4"/>
      <x:c r="M53" s="4"/>
      <x:c r="N53" s="4"/>
      <x:c r="O53" s="4"/>
      <x:c r="P53" s="4"/>
      <x:c r="Q53" s="4"/>
    </x:row>
    <x:row r="54" ht="23" customHeight="1">
      <x:c r="C54" s="2" t="str">
        <x:v>Protein &amp; functional assays</x:v>
      </x:c>
      <x:c r="D54" s="23" t="n">
        <x:v>0.05</x:v>
      </x:c>
      <x:c r="E54" s="34" t="n">
        <x:v>0.65</x:v>
      </x:c>
      <x:c r="F54" s="34" t="n">
        <x:v>1</x:v>
      </x:c>
      <x:c r="G54" s="23" t="n">
        <x:v>0.12</x:v>
      </x:c>
      <x:c r="H54" s="4"/>
      <x:c r="I54" s="4"/>
      <x:c r="J54" s="4"/>
      <x:c r="K54" s="4"/>
      <x:c r="L54" s="4"/>
      <x:c r="M54" s="4"/>
      <x:c r="N54" s="4"/>
      <x:c r="O54" s="4"/>
      <x:c r="P54" s="4"/>
      <x:c r="Q54" s="4"/>
    </x:row>
    <x:row r="55" ht="23" customHeight="1">
      <x:c r="C55" s="2" t="str">
        <x:v>Cells &amp; culture systems</x:v>
      </x:c>
      <x:c r="D55" s="23" t="n">
        <x:v>0.05</x:v>
      </x:c>
      <x:c r="E55" s="34" t="n">
        <x:v>1.05</x:v>
      </x:c>
      <x:c r="F55" s="34" t="n">
        <x:v>1</x:v>
      </x:c>
      <x:c r="G55" s="23" t="n">
        <x:v>0.25</x:v>
      </x:c>
      <x:c r="H55" s="4"/>
      <x:c r="I55" s="4"/>
      <x:c r="J55" s="4"/>
      <x:c r="K55" s="4"/>
      <x:c r="L55" s="4"/>
      <x:c r="M55" s="4"/>
      <x:c r="N55" s="4"/>
      <x:c r="O55" s="4"/>
      <x:c r="P55" s="4"/>
      <x:c r="Q55" s="4"/>
    </x:row>
    <x:row r="56" ht="23" customHeight="1">
      <x:c r="C56" s="2" t="str">
        <x:v>Labware &amp; sample handling</x:v>
      </x:c>
      <x:c r="D56" s="23" t="n">
        <x:v>0.2</x:v>
      </x:c>
      <x:c r="E56" s="34" t="n">
        <x:v>0.45</x:v>
      </x:c>
      <x:c r="F56" s="34" t="n">
        <x:v>1</x:v>
      </x:c>
      <x:c r="G56" s="23" t="n">
        <x:v>0.12</x:v>
      </x:c>
      <x:c r="H56" s="4"/>
      <x:c r="I56" s="4"/>
      <x:c r="J56" s="4"/>
      <x:c r="K56" s="4"/>
      <x:c r="L56" s="4"/>
      <x:c r="M56" s="4"/>
      <x:c r="N56" s="4"/>
      <x:c r="O56" s="4"/>
      <x:c r="P56" s="4"/>
      <x:c r="Q56" s="4"/>
    </x:row>
    <x:row r="57" ht="23" customHeight="1">
      <x:c r="C57" s="2" t="str">
        <x:v>Measurement &amp; analytics</x:v>
      </x:c>
      <x:c r="D57" s="23" t="n">
        <x:v>0.02</x:v>
      </x:c>
      <x:c r="E57" s="34" t="n">
        <x:v>1</x:v>
      </x:c>
      <x:c r="F57" s="34" t="n">
        <x:v>1</x:v>
      </x:c>
      <x:c r="G57" s="23" t="n">
        <x:v>0.2</x:v>
      </x:c>
      <x:c r="H57" s="4"/>
      <x:c r="I57" s="4"/>
      <x:c r="J57" s="4"/>
      <x:c r="K57" s="4"/>
      <x:c r="L57" s="4"/>
      <x:c r="M57" s="4"/>
      <x:c r="N57" s="4"/>
      <x:c r="O57" s="4"/>
      <x:c r="P57" s="4"/>
      <x:c r="Q57" s="4"/>
    </x:row>
    <x:row r="58" ht="23" customHeight="1">
      <x:c r="C58" s="2" t="str">
        <x:v>Purification &amp; scale-up</x:v>
      </x:c>
      <x:c r="D58" s="23" t="n">
        <x:v>0.45</x:v>
      </x:c>
      <x:c r="E58" s="34" t="n">
        <x:v>0.3</x:v>
      </x:c>
      <x:c r="F58" s="34" t="n">
        <x:v>1</x:v>
      </x:c>
      <x:c r="G58" s="23" t="n">
        <x:v>0.04</x:v>
      </x:c>
      <x:c r="H58" s="4"/>
      <x:c r="I58" s="4"/>
      <x:c r="J58" s="4"/>
      <x:c r="K58" s="4"/>
      <x:c r="L58" s="4"/>
      <x:c r="M58" s="4"/>
      <x:c r="N58" s="4"/>
      <x:c r="O58" s="4"/>
      <x:c r="P58" s="4"/>
      <x:c r="Q58" s="4"/>
    </x:row>
    <x:row r="59" ht="23" customHeight="1">
      <x:c r="C59" s="2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</x:row>
    <x:row r="60" ht="23" customHeight="1">
      <x:c r="C60" s="2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</x:row>
    <x:row r="61" ht="25" customHeight="1">
      <x:c r="C61" s="30" t="str">
        <x:v>Small-molecule discovery</x:v>
      </x:c>
      <x:c r="D61" s="31"/>
      <x:c r="E61" s="31"/>
      <x:c r="F61" s="31"/>
      <x:c r="G61" s="31"/>
      <x:c r="H61" s="4"/>
      <x:c r="I61" s="4"/>
      <x:c r="J61" s="4"/>
      <x:c r="K61" s="4"/>
      <x:c r="L61" s="4"/>
      <x:c r="M61" s="4"/>
      <x:c r="N61" s="4"/>
      <x:c r="O61" s="4"/>
      <x:c r="P61" s="4"/>
      <x:c r="Q61" s="4"/>
    </x:row>
    <x:row r="62" ht="32" customHeight="1">
      <x:c r="C62" s="18" t="str">
        <x:v>Editable preset</x:v>
      </x:c>
      <x:c r="D62" s="19" t="str">
        <x:v>Build weight</x:v>
      </x:c>
      <x:c r="E62" s="19" t="str">
        <x:v>Response exponent</x:v>
      </x:c>
      <x:c r="F62" s="19" t="str">
        <x:v>Incremental price</x:v>
      </x:c>
      <x:c r="G62" s="19" t="str">
        <x:v>AI exposure</x:v>
      </x:c>
      <x:c r="H62" s="4"/>
      <x:c r="I62" s="4"/>
      <x:c r="J62" s="4"/>
      <x:c r="K62" s="4"/>
      <x:c r="L62" s="4"/>
      <x:c r="M62" s="4"/>
      <x:c r="N62" s="4"/>
      <x:c r="O62" s="4"/>
      <x:c r="P62" s="4"/>
      <x:c r="Q62" s="4"/>
    </x:row>
    <x:row r="63" ht="23" customHeight="1">
      <x:c r="C63" s="2" t="str">
        <x:v>Molecular construction</x:v>
      </x:c>
      <x:c r="D63" s="23" t="n">
        <x:v>1</x:v>
      </x:c>
      <x:c r="E63" s="34" t="n">
        <x:v>0.6</x:v>
      </x:c>
      <x:c r="F63" s="34" t="n">
        <x:v>1</x:v>
      </x:c>
      <x:c r="G63" s="23" t="n">
        <x:v>0.12</x:v>
      </x:c>
      <x:c r="H63" s="4"/>
      <x:c r="I63" s="4"/>
      <x:c r="J63" s="4"/>
      <x:c r="K63" s="4"/>
      <x:c r="L63" s="4"/>
      <x:c r="M63" s="4"/>
      <x:c r="N63" s="4"/>
      <x:c r="O63" s="4"/>
      <x:c r="P63" s="4"/>
      <x:c r="Q63" s="4"/>
    </x:row>
    <x:row r="64" ht="23" customHeight="1">
      <x:c r="C64" s="2" t="str">
        <x:v>Protein &amp; functional assays</x:v>
      </x:c>
      <x:c r="D64" s="23" t="n">
        <x:v>0.1</x:v>
      </x:c>
      <x:c r="E64" s="34" t="n">
        <x:v>0.45</x:v>
      </x:c>
      <x:c r="F64" s="34" t="n">
        <x:v>1</x:v>
      </x:c>
      <x:c r="G64" s="23" t="n">
        <x:v>0.08</x:v>
      </x:c>
      <x:c r="H64" s="4"/>
      <x:c r="I64" s="4"/>
      <x:c r="J64" s="4"/>
      <x:c r="K64" s="4"/>
      <x:c r="L64" s="4"/>
      <x:c r="M64" s="4"/>
      <x:c r="N64" s="4"/>
      <x:c r="O64" s="4"/>
      <x:c r="P64" s="4"/>
      <x:c r="Q64" s="4"/>
    </x:row>
    <x:row r="65" ht="23" customHeight="1">
      <x:c r="C65" s="2" t="str">
        <x:v>Cells &amp; culture systems</x:v>
      </x:c>
      <x:c r="D65" s="23" t="n">
        <x:v>0.05</x:v>
      </x:c>
      <x:c r="E65" s="34" t="n">
        <x:v>0.8</x:v>
      </x:c>
      <x:c r="F65" s="34" t="n">
        <x:v>1</x:v>
      </x:c>
      <x:c r="G65" s="23" t="n">
        <x:v>0.12</x:v>
      </x:c>
      <x:c r="H65" s="4"/>
      <x:c r="I65" s="4"/>
      <x:c r="J65" s="4"/>
      <x:c r="K65" s="4"/>
      <x:c r="L65" s="4"/>
      <x:c r="M65" s="4"/>
      <x:c r="N65" s="4"/>
      <x:c r="O65" s="4"/>
      <x:c r="P65" s="4"/>
      <x:c r="Q65" s="4"/>
    </x:row>
    <x:row r="66" ht="23" customHeight="1">
      <x:c r="C66" s="2" t="str">
        <x:v>Labware &amp; sample handling</x:v>
      </x:c>
      <x:c r="D66" s="23" t="n">
        <x:v>0.3</x:v>
      </x:c>
      <x:c r="E66" s="34" t="n">
        <x:v>0.3</x:v>
      </x:c>
      <x:c r="F66" s="34" t="n">
        <x:v>1</x:v>
      </x:c>
      <x:c r="G66" s="23" t="n">
        <x:v>0.08</x:v>
      </x:c>
      <x:c r="H66" s="4"/>
      <x:c r="I66" s="4"/>
      <x:c r="J66" s="4"/>
      <x:c r="K66" s="4"/>
      <x:c r="L66" s="4"/>
      <x:c r="M66" s="4"/>
      <x:c r="N66" s="4"/>
      <x:c r="O66" s="4"/>
      <x:c r="P66" s="4"/>
      <x:c r="Q66" s="4"/>
    </x:row>
    <x:row r="67" ht="23" customHeight="1">
      <x:c r="C67" s="2" t="str">
        <x:v>Measurement &amp; analytics</x:v>
      </x:c>
      <x:c r="D67" s="23" t="n">
        <x:v>0.1</x:v>
      </x:c>
      <x:c r="E67" s="34" t="n">
        <x:v>0.8</x:v>
      </x:c>
      <x:c r="F67" s="34" t="n">
        <x:v>1</x:v>
      </x:c>
      <x:c r="G67" s="23" t="n">
        <x:v>0.12</x:v>
      </x:c>
      <x:c r="H67" s="4"/>
      <x:c r="I67" s="4"/>
      <x:c r="J67" s="4"/>
      <x:c r="K67" s="4"/>
      <x:c r="L67" s="4"/>
      <x:c r="M67" s="4"/>
      <x:c r="N67" s="4"/>
      <x:c r="O67" s="4"/>
      <x:c r="P67" s="4"/>
      <x:c r="Q67" s="4"/>
    </x:row>
    <x:row r="68" ht="23" customHeight="1">
      <x:c r="C68" s="2" t="str">
        <x:v>Purification &amp; scale-up</x:v>
      </x:c>
      <x:c r="D68" s="23" t="n">
        <x:v>0.65</x:v>
      </x:c>
      <x:c r="E68" s="34" t="n">
        <x:v>0.4</x:v>
      </x:c>
      <x:c r="F68" s="34" t="n">
        <x:v>1</x:v>
      </x:c>
      <x:c r="G68" s="23" t="n">
        <x:v>0.06</x:v>
      </x:c>
      <x:c r="H68" s="4"/>
      <x:c r="I68" s="4"/>
      <x:c r="J68" s="4"/>
      <x:c r="K68" s="4"/>
      <x:c r="L68" s="4"/>
      <x:c r="M68" s="4"/>
      <x:c r="N68" s="4"/>
      <x:c r="O68" s="4"/>
      <x:c r="P68" s="4"/>
      <x:c r="Q68" s="4"/>
    </x:row>
    <x:row r="69" ht="23" customHeight="1">
      <x:c r="C69" s="2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</x:row>
    <x:row r="70" ht="23" customHeight="1">
      <x:c r="C70" s="2" t="str">
        <x:v>Edit blue numeric cells. Active coefficient formulas select the chosen workflow.</x:v>
      </x:c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</x:row>
    <x:row r="71" ht="23" customHeight="1">
      <x:c r="C71" s="2" t="str">
        <x:v>Prices scale incremental purchases only. AI exposure is hypothetical.</x:v>
      </x:c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</x:row>
    <x:row r="72" ht="23" customHeight="1">
      <x:c r="C72" s="2" t="str">
        <x:v>Rollout realization applies once to incremental activity. Annual costs include people and shared operations.</x:v>
      </x:c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</x:row>
    <x:row r="73" ht="23" customHeight="1">
      <x:c r="C73" s="2" t="str">
        <x:v>No separate manual overrides. Change the selected preset cells to customize the workflow.</x:v>
      </x:c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</x:row>
    <x:row r="74" ht="23" customHeight="1">
      <x:c r="C74" s="2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</x:row>
    <x:row r="75" ht="25" customHeight="1">
      <x:c r="C75" s="30" t="str">
        <x:v>Primary-source context</x:v>
      </x:c>
      <x:c r="D75" s="31"/>
      <x:c r="E75" s="31"/>
      <x:c r="F75" s="31"/>
      <x:c r="G75" s="31"/>
      <x:c r="H75" s="4"/>
      <x:c r="I75" s="4"/>
      <x:c r="J75" s="4"/>
      <x:c r="K75" s="4"/>
      <x:c r="L75" s="4"/>
      <x:c r="M75" s="4"/>
      <x:c r="N75" s="4"/>
      <x:c r="O75" s="4"/>
      <x:c r="P75" s="4"/>
      <x:c r="Q75" s="4"/>
    </x:row>
    <x:row r="76" ht="32" customHeight="1">
      <x:c r="C76" s="18" t="str">
        <x:v>Announcement</x:v>
      </x:c>
      <x:c r="D76" s="19" t="str">
        <x:v>Date</x:v>
      </x:c>
      <x:c r="E76" s="19" t="str">
        <x:v>US$bn</x:v>
      </x:c>
      <x:c r="F76" s="19" t="str">
        <x:v>Horizon (years)</x:v>
      </x:c>
      <x:c r="G76" s="19" t="str">
        <x:v>Scope boundary</x:v>
      </x:c>
      <x:c r="H76" s="4"/>
      <x:c r="I76" s="4"/>
      <x:c r="J76" s="4"/>
      <x:c r="K76" s="4"/>
      <x:c r="L76" s="4"/>
      <x:c r="M76" s="4"/>
      <x:c r="N76" s="4"/>
      <x:c r="O76" s="4"/>
      <x:c r="P76" s="4"/>
      <x:c r="Q76" s="4"/>
    </x:row>
    <x:row r="77" ht="23" customHeight="1">
      <x:c r="C77" s="2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</x:row>
    <x:row r="78" ht="68" customHeight="1">
      <x:c r="C78" s="2" t="str">
        <x:v>Biohub (April)</x:v>
      </x:c>
      <x:c r="D78" s="35" t="d">
        <x:v>2026-04-29T00:00:00.000Z</x:v>
      </x:c>
      <x:c r="E78" s="4" t="n">
        <x:v>0.5</x:v>
      </x:c>
      <x:c r="F78" s="4" t="n">
        <x:v>5</x:v>
      </x:c>
      <x:c r="G78" s="36" t="str">
        <x:v>Data generation and measurement technologies. Included in the October announcement.</x:v>
      </x:c>
      <x:c r="H78" s="4"/>
      <x:c r="I78" s="4"/>
      <x:c r="J78" s="4"/>
      <x:c r="K78" s="4"/>
      <x:c r="L78" s="4"/>
      <x:c r="M78" s="4"/>
      <x:c r="N78" s="4"/>
      <x:c r="O78" s="4"/>
      <x:c r="P78" s="4"/>
      <x:c r="Q78" s="4"/>
    </x:row>
    <x:row r="79" ht="23" customHeight="1">
      <x:c r="C79" s="2" t="str">
        <x:v>https://biohub.org/news/virtual-biology-initiative/</x:v>
      </x:c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</x:row>
    <x:row r="80" ht="23" customHeight="1">
      <x:c r="C80" s="2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</x:row>
    <x:row r="81" ht="23" customHeight="1">
      <x:c r="C81" s="2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</x:row>
    <x:row r="82" ht="68" customHeight="1">
      <x:c r="C82" s="2" t="str">
        <x:v>Biohub / partners (October)</x:v>
      </x:c>
      <x:c r="D82" s="35" t="d">
        <x:v>2026-10-07T00:00:00.000Z</x:v>
      </x:c>
      <x:c r="E82" s="4" t="n">
        <x:v>1.8</x:v>
      </x:c>
      <x:c r="F82" s="4" t="str">
        <x:v>Mixed</x:v>
      </x:c>
      <x:c r="G82" s="36" t="str">
        <x:v>Includes prior NIH investment, compute and data. Not all new cash.</x:v>
      </x:c>
      <x:c r="H82" s="4"/>
      <x:c r="I82" s="4"/>
      <x:c r="J82" s="4"/>
      <x:c r="K82" s="4"/>
      <x:c r="L82" s="4"/>
      <x:c r="M82" s="4"/>
      <x:c r="N82" s="4"/>
      <x:c r="O82" s="4"/>
      <x:c r="P82" s="4"/>
      <x:c r="Q82" s="4"/>
    </x:row>
    <x:row r="83" ht="23" customHeight="1">
      <x:c r="C83" s="2" t="str">
        <x:v>https://biohub.org/news/virtual-biology-initiative-expansion/</x:v>
      </x:c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</x:row>
    <x:row r="84" ht="23" customHeight="1">
      <x:c r="C84" s="2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</x:row>
    <x:row r="85" ht="23" customHeight="1">
      <x:c r="C85" s="2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</x:row>
    <x:row r="86" ht="68" customHeight="1">
      <x:c r="C86" s="2" t="str">
        <x:v>Lilly / NVIDIA</x:v>
      </x:c>
      <x:c r="D86" s="35" t="d">
        <x:v>2026-01-12T00:00:00.000Z</x:v>
      </x:c>
      <x:c r="E86" s="4" t="n">
        <x:v>1</x:v>
      </x:c>
      <x:c r="F86" s="4" t="n">
        <x:v>5</x:v>
      </x:c>
      <x:c r="G86" s="36" t="str">
        <x:v>Up to US$1bn. Talent, infrastructure and compute. No wet-lab split.</x:v>
      </x:c>
      <x:c r="H86" s="4"/>
      <x:c r="I86" s="4"/>
      <x:c r="J86" s="4"/>
      <x:c r="K86" s="4"/>
      <x:c r="L86" s="4"/>
      <x:c r="M86" s="4"/>
      <x:c r="N86" s="4"/>
      <x:c r="O86" s="4"/>
      <x:c r="P86" s="4"/>
      <x:c r="Q86" s="4"/>
    </x:row>
    <x:row r="87" ht="23" customHeight="1">
      <x:c r="C87" s="2" t="str">
        <x:v>https://lilly.gcs-web.com/news-releases/news-release-details/nvidia-and-lilly-announce-co-innovation-ai-lab-reinvent-drug</x:v>
      </x:c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</x:row>
    <x:row r="88" ht="23" customHeight="1">
      <x:c r="C88" s="2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</x:row>
    <x:row r="89" ht="23" customHeight="1">
      <x:c r="C89" s="2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</x:row>
    <x:row r="90" ht="68" customHeight="1">
      <x:c r="C90" s="2" t="str">
        <x:v>Isomorphic Labs</x:v>
      </x:c>
      <x:c r="D90" s="35" t="d">
        <x:v>2026-05-12T00:00:00.000Z</x:v>
      </x:c>
      <x:c r="E90" s="4" t="n">
        <x:v>2.1</x:v>
      </x:c>
      <x:c r="F90" s="4" t="str">
        <x:v>Undisclosed</x:v>
      </x:c>
      <x:c r="G90" s="36" t="str">
        <x:v>Corporate financing, not infrastructure procurement. No spending horizon.</x:v>
      </x:c>
      <x:c r="H90" s="4"/>
      <x:c r="I90" s="4"/>
      <x:c r="J90" s="4"/>
      <x:c r="K90" s="4"/>
      <x:c r="L90" s="4"/>
      <x:c r="M90" s="4"/>
      <x:c r="N90" s="4"/>
      <x:c r="O90" s="4"/>
      <x:c r="P90" s="4"/>
      <x:c r="Q90" s="4"/>
    </x:row>
    <x:row r="91" ht="23" customHeight="1">
      <x:c r="C91" s="2" t="str">
        <x:v>https://www.isomorphiclabs.com/press/isomorphic-labs-funding</x:v>
      </x:c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</x:row>
    <x:row r="92" ht="23" customHeight="1">
      <x:c r="C92" s="2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</x:row>
    <x:row r="93" ht="23" customHeight="1">
      <x:c r="C93" s="2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</x:row>
    <x:row r="94" ht="23" customHeight="1">
      <x:c r="C94" s="2" t="str">
        <x:v>Announcements provide context. They are not summed or used to calibrate the model.</x:v>
      </x:c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</x:row>
    <x:row r="95" ht="23" customHeight="1">
      <x:c r="C95" s="2" t="str">
        <x:v>https://wizardzxx-tech.github.io/chart/v2/scenarios/methodology.md</x:v>
      </x:c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</x:row>
    <x:row r="96" ht="23" customHeight="1">
      <x:c r="C96" s="2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</x:row>
  </x:sheetData>
  <x:conditionalFormatting sqref="D28:D28">
    <x:cfRule type="cellIs" dxfId="0" priority="1" operator="notEqual">
      <x:formula>"Valid"</x:formula>
    </x:cfRule>
  </x:conditionalFormatting>
  <x:conditionalFormatting sqref="D39:D39">
    <x:cfRule type="cellIs" dxfId="1" priority="2" operator="notEqual">
      <x:formula>"Valid"</x:formula>
    </x:cfRule>
  </x:conditionalFormatting>
  <x:dataValidations count="27">
    <x:dataValidation type="whole" operator="between" sqref="D5">
      <x:formula1>1</x:formula1>
      <x:formula2>3</x:formula2>
    </x:dataValidation>
    <x:dataValidation type="decimal" operator="between" sqref="D10">
      <x:formula1>0</x:formula1>
      <x:formula2>200</x:formula2>
    </x:dataValidation>
    <x:dataValidation type="whole" operator="between" sqref="D11">
      <x:formula1>2</x:formula1>
      <x:formula2>5</x:formula2>
    </x:dataValidation>
    <x:dataValidation type="decimal" operator="between" sqref="D12">
      <x:formula1>0</x:formula1>
      <x:formula2>1</x:formula2>
    </x:dataValidation>
    <x:dataValidation type="decimal" operator="between" sqref="D13">
      <x:formula1>0</x:formula1>
      <x:formula2>1</x:formula2>
    </x:dataValidation>
    <x:dataValidation type="decimal" operator="between" sqref="D14">
      <x:formula1>0</x:formula1>
      <x:formula2>1</x:formula2>
    </x:dataValidation>
    <x:dataValidation type="decimal" operator="between" sqref="D15">
      <x:formula1>0.1</x:formula1>
      <x:formula2>20</x:formula2>
    </x:dataValidation>
    <x:dataValidation type="decimal" operator="between" sqref="D16">
      <x:formula1>0.1</x:formula1>
      <x:formula2>20</x:formula2>
    </x:dataValidation>
    <x:dataValidation type="decimal" operator="between" sqref="D17">
      <x:formula1>0.05</x:formula1>
      <x:formula2>10</x:formula2>
    </x:dataValidation>
    <x:dataValidation type="decimal" operator="between" sqref="D18">
      <x:formula1>0.05</x:formula1>
      <x:formula2>10</x:formula2>
    </x:dataValidation>
    <x:dataValidation type="decimal" operator="between" sqref="D19">
      <x:formula1>0</x:formula1>
      <x:formula2>1</x:formula2>
    </x:dataValidation>
    <x:dataValidation type="decimal" operator="between" sqref="D20">
      <x:formula1>0.5</x:formula1>
      <x:formula2>3</x:formula2>
    </x:dataValidation>
    <x:dataValidation type="decimal" operator="between" sqref="D21">
      <x:formula1>0</x:formula1>
      <x:formula2>5</x:formula2>
    </x:dataValidation>
    <x:dataValidation type="decimal" operator="between" sqref="D22">
      <x:formula1>0</x:formula1>
      <x:formula2>1</x:formula2>
    </x:dataValidation>
    <x:dataValidation type="decimal" operator="between" sqref="D23">
      <x:formula1>0</x:formula1>
      <x:formula2>1</x:formula2>
    </x:dataValidation>
    <x:dataValidation type="decimal" operator="between" sqref="D43:D48">
      <x:formula1>0</x:formula1>
      <x:formula2>1</x:formula2>
    </x:dataValidation>
    <x:dataValidation type="decimal" operator="between" sqref="E43:E48">
      <x:formula1>0</x:formula1>
      <x:formula2>1.5</x:formula2>
    </x:dataValidation>
    <x:dataValidation type="decimal" operator="between" sqref="F43:F48">
      <x:formula1>0.1</x:formula1>
      <x:formula2>2</x:formula2>
    </x:dataValidation>
    <x:dataValidation type="decimal" operator="between" sqref="G43:G48">
      <x:formula1>0</x:formula1>
      <x:formula2>1</x:formula2>
    </x:dataValidation>
    <x:dataValidation type="decimal" operator="between" sqref="D53:D58">
      <x:formula1>0</x:formula1>
      <x:formula2>1</x:formula2>
    </x:dataValidation>
    <x:dataValidation type="decimal" operator="between" sqref="E53:E58">
      <x:formula1>0</x:formula1>
      <x:formula2>1.5</x:formula2>
    </x:dataValidation>
    <x:dataValidation type="decimal" operator="between" sqref="F53:F58">
      <x:formula1>0.1</x:formula1>
      <x:formula2>2</x:formula2>
    </x:dataValidation>
    <x:dataValidation type="decimal" operator="between" sqref="G53:G58">
      <x:formula1>0</x:formula1>
      <x:formula2>1</x:formula2>
    </x:dataValidation>
    <x:dataValidation type="decimal" operator="between" sqref="D63:D68">
      <x:formula1>0</x:formula1>
      <x:formula2>1</x:formula2>
    </x:dataValidation>
    <x:dataValidation type="decimal" operator="between" sqref="E63:E68">
      <x:formula1>0</x:formula1>
      <x:formula2>1.5</x:formula2>
    </x:dataValidation>
    <x:dataValidation type="decimal" operator="between" sqref="F63:F68">
      <x:formula1>0.1</x:formula1>
      <x:formula2>2</x:formula2>
    </x:dataValidation>
    <x:dataValidation type="decimal" operator="between" sqref="G63:G68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20" hidden="0" customWidth="1"/>
    <x:col min="5" max="5" width="20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1" hidden="0" customWidth="1"/>
    <x:col min="17" max="17" width="11" hidden="0" customWidth="1"/>
  </x:cols>
  <x:sheetData>
    <x:row r="2" ht="23" customHeight="1">
      <x:c r="C2" s="60" t="str">
        <x:v>Funding and tool-demand calculations</x:v>
      </x:c>
      <x:c r="D2" s="61"/>
      <x:c r="E2" s="61"/>
      <x:c r="F2" s="61"/>
      <x:c r="G2" s="61"/>
      <x:c r="H2" s="61"/>
      <x:c r="I2" s="61"/>
      <x:c r="J2" s="61"/>
      <x:c r="K2" s="61"/>
      <x:c r="L2" s="61"/>
      <x:c r="M2" s="61"/>
      <x:c r="N2" s="61"/>
      <x:c r="O2" s="61"/>
      <x:c r="P2" s="61"/>
      <x:c r="Q2" s="61"/>
    </x:row>
    <x:row r="3" ht="23" customHeight="1">
      <x:c r="C3" s="62" t="str">
        <x:v>US$bn and US$bn/year. Multiples are relative to the same illustrative 1x cohort.</x:v>
      </x:c>
      <x:c r="D3" s="62"/>
      <x:c r="E3" s="62"/>
      <x:c r="F3" s="62"/>
      <x:c r="G3" s="62"/>
      <x:c r="H3" s="62"/>
      <x:c r="I3" s="61"/>
      <x:c r="J3" s="61"/>
      <x:c r="K3" s="61"/>
      <x:c r="L3" s="61"/>
      <x:c r="M3" s="61"/>
      <x:c r="N3" s="61"/>
      <x:c r="O3" s="61"/>
      <x:c r="P3" s="61"/>
      <x:c r="Q3" s="61"/>
    </x:row>
    <x:row r="4" ht="23" customHeight="1">
      <x:c r="C4" s="63" t="str">
        <x:v>Workflow</x:v>
      </x:c>
      <x:c r="D4" s="66" t="str">
        <x:f>'Inputs'!E5</x:f>
        <x:v>Protein / antibody discovery</x:v>
      </x:c>
      <x:c r="E4" s="63"/>
      <x:c r="F4" s="63"/>
      <x:c r="G4" s="63"/>
      <x:c r="H4" s="63"/>
      <x:c r="I4" s="61"/>
      <x:c r="J4" s="61"/>
      <x:c r="K4" s="61"/>
      <x:c r="L4" s="61"/>
      <x:c r="M4" s="61"/>
      <x:c r="N4" s="61"/>
      <x:c r="O4" s="61"/>
      <x:c r="P4" s="61"/>
      <x:c r="Q4" s="61"/>
    </x:row>
    <x:row r="5" ht="23" customHeight="1"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25" customHeight="1">
      <x:c r="C6" s="30" t="str">
        <x:v>Funding stock and annual flows</x:v>
      </x:c>
      <x:c r="D6" s="31"/>
      <x:c r="E6" s="31"/>
      <x:c r="F6" s="31"/>
      <x:c r="G6" s="31"/>
      <x:c r="H6" s="31"/>
      <x:c r="I6" s="4"/>
      <x:c r="J6" s="4"/>
      <x:c r="K6" s="4"/>
      <x:c r="L6" s="4"/>
      <x:c r="M6" s="4"/>
      <x:c r="N6" s="4"/>
      <x:c r="O6" s="4"/>
      <x:c r="P6" s="4"/>
      <x:c r="Q6" s="4"/>
    </x:row>
    <x:row r="7" ht="32" customHeight="1">
      <x:c r="C7" s="18" t="str">
        <x:v>Metric</x:v>
      </x:c>
      <x:c r="D7" s="19" t="str">
        <x:v>Value</x:v>
      </x:c>
      <x:c r="E7" s="19" t="str">
        <x:v>Units</x:v>
      </x:c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</x:row>
    <x:row r="8" ht="23" customHeight="1">
      <x:c r="C8" s="2" t="str">
        <x:v>Total program funding</x:v>
      </x:c>
      <x:c r="D8" s="38" t="n">
        <x:f>'Inputs'!D10</x:f>
        <x:v>50</x:v>
      </x:c>
      <x:c r="E8" s="4" t="str">
        <x:v>US$bn</x:v>
      </x:c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</x:row>
    <x:row r="9" ht="23" customHeight="1">
      <x:c r="C9" s="2" t="str">
        <x:v>Deployment years</x:v>
      </x:c>
      <x:c r="D9" s="38" t="n">
        <x:f>'Inputs'!D11</x:f>
        <x:v>5</x:v>
      </x:c>
      <x:c r="E9" s="4" t="str">
        <x:v>years</x:v>
      </x:c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</x:row>
    <x:row r="10" ht="23" customHeight="1">
      <x:c r="C10" s="2" t="str">
        <x:v>Annual program funding</x:v>
      </x:c>
      <x:c r="D10" s="38" t="n">
        <x:f>IF('Inputs'!$D$28="Valid",D8/D9,NA())</x:f>
        <x:v>10</x:v>
      </x:c>
      <x:c r="E10" s="4" t="str">
        <x:v>US$bn/year</x:v>
      </x:c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</x:row>
    <x:row r="11" ht="23" customHeight="1">
      <x:c r="C11" s="2" t="str">
        <x:v>Wet-lab share</x:v>
      </x:c>
      <x:c r="D11" s="67" t="n">
        <x:f>'Inputs'!D12</x:f>
        <x:v>0.35</x:v>
      </x:c>
      <x:c r="E11" s="4" t="str">
        <x:v>fraction</x:v>
      </x:c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</x:row>
    <x:row r="12" ht="23" customHeight="1">
      <x:c r="C12" s="2" t="str">
        <x:v>Equipment share within wet lab</x:v>
      </x:c>
      <x:c r="D12" s="67" t="n">
        <x:f>'Inputs'!D13</x:f>
        <x:v>0.45</x:v>
      </x:c>
      <x:c r="E12" s="4" t="str">
        <x:v>fraction</x:v>
      </x:c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</x:row>
    <x:row r="13" ht="23" customHeight="1">
      <x:c r="C13" s="2" t="str">
        <x:v>Test share</x:v>
      </x:c>
      <x:c r="D13" s="67" t="n">
        <x:f>'Inputs'!D14</x:f>
        <x:v>0.65</x:v>
      </x:c>
      <x:c r="E13" s="4" t="str">
        <x:v>fraction</x:v>
      </x:c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</x:row>
    <x:row r="14" ht="23" customHeight="1">
      <x:c r="C14" s="2" t="str">
        <x:v>Annual wet-lab funding</x:v>
      </x:c>
      <x:c r="D14" s="25" t="n">
        <x:f>D10*D11</x:f>
        <x:v>3.5</x:v>
      </x:c>
      <x:c r="E14" s="4" t="str">
        <x:v>US$bn/year</x:v>
      </x:c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</x:row>
    <x:row r="15" ht="23" customHeight="1">
      <x:c r="C15" s="2" t="str">
        <x:v>Annual equipment funding</x:v>
      </x:c>
      <x:c r="D15" s="25" t="n">
        <x:f>D14*D12</x:f>
        <x:v>1.575</x:v>
      </x:c>
      <x:c r="E15" s="4" t="str">
        <x:v>US$bn/year</x:v>
      </x:c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</x:row>
    <x:row r="16" ht="23" customHeight="1">
      <x:c r="C16" s="2" t="str">
        <x:v>Annual lab execution funding</x:v>
      </x:c>
      <x:c r="D16" s="25" t="n">
        <x:f>D14*(1-D12)</x:f>
        <x:v>1.9250000000000003</x:v>
      </x:c>
      <x:c r="E16" s="4" t="str">
        <x:v>US$bn/year</x:v>
      </x:c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</x:row>
    <x:row r="17" ht="23" customHeight="1">
      <x:c r="C17" s="2" t="str">
        <x:v>Other annual program uses</x:v>
      </x:c>
      <x:c r="D17" s="25" t="n">
        <x:f>D10-D14</x:f>
        <x:v>6.5</x:v>
      </x:c>
      <x:c r="E17" s="4" t="str">
        <x:v>US$bn/year</x:v>
      </x:c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</x:row>
    <x:row r="18" ht="23" customHeight="1">
      <x:c r="C18" s="2" t="str">
        <x:v>Cumulative equipment funding</x:v>
      </x:c>
      <x:c r="D18" s="25" t="n">
        <x:f>D15*D9</x:f>
        <x:v>7.875</x:v>
      </x:c>
      <x:c r="E18" s="4" t="str">
        <x:v>US$bn</x:v>
      </x:c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</x:row>
    <x:row r="19" ht="23" customHeight="1">
      <x:c r="C19" s="2" t="str">
        <x:v>Commissioning lag</x:v>
      </x:c>
      <x:c r="D19" s="38" t="n">
        <x:f>'Inputs'!D21</x:f>
        <x:v>0</x:v>
      </x:c>
      <x:c r="E19" s="4" t="str">
        <x:v>years</x:v>
      </x:c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</x:row>
    <x:row r="20" ht="23" customHeight="1">
      <x:c r="C20" s="2" t="str">
        <x:v>Productive commissioning fraction</x:v>
      </x:c>
      <x:c r="D20" s="68" t="n">
        <x:f>MAX(0,1-D19/D9)</x:f>
        <x:v>1</x:v>
      </x:c>
      <x:c r="E20" s="4" t="str">
        <x:v>fraction</x:v>
      </x:c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</x:row>
    <x:row r="21" ht="23" customHeight="1">
      <x:c r="C21" s="2" t="str">
        <x:v>Commissioned equipment stock</x:v>
      </x:c>
      <x:c r="D21" s="25" t="n">
        <x:f>D18*D20</x:f>
        <x:v>7.875</x:v>
      </x:c>
      <x:c r="E21" s="4" t="str">
        <x:v>US$bn</x:v>
      </x:c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</x:row>
    <x:row r="22" ht="23" customHeight="1">
      <x:c r="C22" s="2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</x:row>
    <x:row r="23" ht="23" customHeight="1">
      <x:c r="C23" s="2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</x:row>
    <x:row r="24" ht="25" customHeight="1">
      <x:c r="C24" s="30" t="str">
        <x:v>Build and Test constraints</x:v>
      </x:c>
      <x:c r="D24" s="31"/>
      <x:c r="E24" s="31"/>
      <x:c r="F24" s="31"/>
      <x:c r="G24" s="31"/>
      <x:c r="H24" s="31"/>
      <x:c r="I24" s="4"/>
      <x:c r="J24" s="4"/>
      <x:c r="K24" s="4"/>
      <x:c r="L24" s="4"/>
      <x:c r="M24" s="4"/>
      <x:c r="N24" s="4"/>
      <x:c r="O24" s="4"/>
      <x:c r="P24" s="4"/>
      <x:c r="Q24" s="4"/>
    </x:row>
    <x:row r="25" ht="32" customHeight="1">
      <x:c r="C25" s="18" t="str">
        <x:v>Metric</x:v>
      </x:c>
      <x:c r="D25" s="19" t="str">
        <x:v>Build</x:v>
      </x:c>
      <x:c r="E25" s="19" t="str">
        <x:v>Test</x:v>
      </x:c>
      <x:c r="F25" s="19" t="str">
        <x:v>Units</x:v>
      </x:c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</x:row>
    <x:row r="26" ht="23" customHeight="1">
      <x:c r="C26" s="2" t="str">
        <x:v>Stage allocation</x:v>
      </x:c>
      <x:c r="D26" s="68" t="n">
        <x:f>1-$D$13</x:f>
        <x:v>0.35</x:v>
      </x:c>
      <x:c r="E26" s="68" t="n">
        <x:f>$D$13</x:f>
        <x:v>0.65</x:v>
      </x:c>
      <x:c r="F26" s="4" t="str">
        <x:v>fraction</x:v>
      </x:c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</x:row>
    <x:row r="27" ht="23" customHeight="1">
      <x:c r="C27" s="2" t="str">
        <x:v>Reference equipment stock</x:v>
      </x:c>
      <x:c r="D27" s="38" t="n">
        <x:f>'Inputs'!D15</x:f>
        <x:v>1.5</x:v>
      </x:c>
      <x:c r="E27" s="38" t="n">
        <x:f>'Inputs'!D16</x:f>
        <x:v>2.5</x:v>
      </x:c>
      <x:c r="F27" s="4" t="str">
        <x:v>US$bn</x:v>
      </x:c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</x:row>
    <x:row r="28" ht="23" customHeight="1">
      <x:c r="C28" s="2" t="str">
        <x:v>Reference annual lab costs</x:v>
      </x:c>
      <x:c r="D28" s="38" t="n">
        <x:f>'Inputs'!D17</x:f>
        <x:v>0.35</x:v>
      </x:c>
      <x:c r="E28" s="38" t="n">
        <x:f>'Inputs'!D18</x:f>
        <x:v>0.55</x:v>
      </x:c>
      <x:c r="F28" s="4" t="str">
        <x:v>US$bn/year</x:v>
      </x:c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</x:row>
    <x:row r="29" ht="23" customHeight="1">
      <x:c r="C29" s="2" t="str">
        <x:v>Allocated commissioned equipment</x:v>
      </x:c>
      <x:c r="D29" s="25" t="n">
        <x:f>$D$21*D26</x:f>
        <x:v>2.7562499999999996</x:v>
      </x:c>
      <x:c r="E29" s="25" t="n">
        <x:f>$D$21*E26</x:f>
        <x:v>5.11875</x:v>
      </x:c>
      <x:c r="F29" s="4" t="str">
        <x:v>US$bn</x:v>
      </x:c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</x:row>
    <x:row r="30" ht="23" customHeight="1">
      <x:c r="C30" s="2" t="str">
        <x:v>Allocated annual lab execution</x:v>
      </x:c>
      <x:c r="D30" s="25" t="n">
        <x:f>$D$16*D26</x:f>
        <x:v>0.6737500000000001</x:v>
      </x:c>
      <x:c r="E30" s="25" t="n">
        <x:f>$D$16*E26</x:f>
        <x:v>1.2512500000000002</x:v>
      </x:c>
      <x:c r="F30" s="4" t="str">
        <x:v>US$bn/year</x:v>
      </x:c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</x:row>
    <x:row r="31" ht="23" customHeight="1">
      <x:c r="C31" s="2" t="str">
        <x:v>Equipment-supported increment</x:v>
      </x:c>
      <x:c r="D31" s="40" t="n">
        <x:f>D29/D27</x:f>
        <x:v>1.8374999999999997</x:v>
      </x:c>
      <x:c r="E31" s="40" t="n">
        <x:f>E29/E27</x:f>
        <x:v>2.0475000000000003</x:v>
      </x:c>
      <x:c r="F31" s="4" t="str">
        <x:v>multiple</x:v>
      </x:c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</x:row>
    <x:row r="32" ht="23" customHeight="1">
      <x:c r="C32" s="2" t="str">
        <x:v>Running-funded increment</x:v>
      </x:c>
      <x:c r="D32" s="40" t="n">
        <x:f>D30/D28</x:f>
        <x:v>1.9250000000000003</x:v>
      </x:c>
      <x:c r="E32" s="40" t="n">
        <x:f>E30/E28</x:f>
        <x:v>2.2750000000000004</x:v>
      </x:c>
      <x:c r="F32" s="4" t="str">
        <x:v>multiple</x:v>
      </x:c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</x:row>
    <x:row r="33" ht="23" customHeight="1">
      <x:c r="C33" s="2" t="str">
        <x:v>Raw funded support</x:v>
      </x:c>
      <x:c r="D33" s="41" t="n">
        <x:f>IF('Inputs'!$D$28="Valid",1+'Inputs'!$D$19*'Inputs'!$D$20*MIN(D31,D32),NA())</x:f>
        <x:v>2.5618749999999997</x:v>
      </x:c>
      <x:c r="E33" s="41" t="n">
        <x:f>IF('Inputs'!$D$28="Valid",1+'Inputs'!$D$19*'Inputs'!$D$20*MIN(E31,E32),NA())</x:f>
        <x:v>2.7403750000000002</x:v>
      </x:c>
      <x:c r="F33" s="4" t="str">
        <x:v>multiple</x:v>
      </x:c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</x:row>
    <x:row r="34" ht="23" customHeight="1">
      <x:c r="C34" s="2" t="str">
        <x:v>Funded support, capped</x:v>
      </x:c>
      <x:c r="D34" s="43" t="n">
        <x:f>MIN('Inputs'!$D$25,D33)</x:f>
        <x:v>2.5618749999999997</x:v>
      </x:c>
      <x:c r="E34" s="43" t="n">
        <x:f>MIN('Inputs'!$D$25,E33)</x:f>
        <x:v>2.7403750000000002</x:v>
      </x:c>
      <x:c r="F34" s="4" t="str">
        <x:v>multiple</x:v>
      </x:c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</x:row>
    <x:row r="35" ht="42" customHeight="1">
      <x:c r="C35" s="2" t="str">
        <x:v>Binding constraint</x:v>
      </x:c>
      <x:c r="D35" s="44" t="str">
        <x:f>IF('Inputs'!$D$19=0,"Rollout realization",IF(D31&lt;=D32,"Equipment capacity","Annual lab execution funding"))</x:f>
        <x:v>Equipment capacity</x:v>
      </x:c>
      <x:c r="E35" s="44" t="str">
        <x:f>IF('Inputs'!$D$19=0,"Rollout realization",IF(E31&lt;=E32,"Equipment capacity","Annual lab execution funding"))</x:f>
        <x:v>Equipment capacity</x:v>
      </x:c>
      <x:c r="F35" s="4" t="str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</x:row>
    <x:row r="36" ht="23" customHeight="1">
      <x:c r="C36" s="2" t="str">
        <x:v>Desired target envelope</x:v>
      </x:c>
      <x:c r="D36" s="41" t="n">
        <x:f>MIN('Inputs'!$D$25,MAX('Inputs'!$D$24,D33))</x:f>
        <x:v>2.5618749999999997</x:v>
      </x:c>
      <x:c r="E36" s="41" t="n">
        <x:f>MIN('Inputs'!$D$25,MAX('Inputs'!$D$24,E33))</x:f>
        <x:v>2.7403750000000002</x:v>
      </x:c>
      <x:c r="F36" s="4" t="str">
        <x:v>multiple</x:v>
      </x:c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</x:row>
    <x:row r="37" ht="23" customHeight="1">
      <x:c r="C37" s="2" t="str">
        <x:v>Shortfall to target</x:v>
      </x:c>
      <x:c r="D37" s="40" t="n">
        <x:f>MAX(0,D36-D34)</x:f>
        <x:v>0</x:v>
      </x:c>
      <x:c r="E37" s="40" t="n">
        <x:f>MAX(0,E36-E34)</x:f>
        <x:v>0</x:v>
      </x:c>
      <x:c r="F37" s="4" t="str">
        <x:v>multiple</x:v>
      </x:c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</x:row>
    <x:row r="38" ht="23" customHeight="1">
      <x:c r="C38" s="2" t="str">
        <x:v>Cohort-ceiling status</x:v>
      </x:c>
      <x:c r="D38" s="38" t="str">
        <x:f>IF(D33&gt;'Inputs'!$D$25,"Above ceiling","Within ceiling")</x:f>
        <x:v>Within ceiling</x:v>
      </x:c>
      <x:c r="E38" s="38" t="str">
        <x:f>IF(E33&gt;'Inputs'!$D$25,"Above ceiling","Within ceiling")</x:f>
        <x:v>Within ceiling</x:v>
      </x:c>
      <x:c r="F38" s="4" t="str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</x:row>
    <x:row r="39" ht="23" customHeight="1">
      <x:c r="C39" s="2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</x:row>
    <x:row r="40" ht="23" customHeight="1">
      <x:c r="C40" s="2" t="str">
        <x:v>The 2x floor is a target. Raw capacity remains visible above the 10x cohort ceiling.</x:v>
      </x:c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</x:row>
    <x:row r="41" ht="23" customHeight="1">
      <x:c r="C41" s="2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</x:row>
    <x:row r="42" ht="23" customHeight="1">
      <x:c r="C42" s="2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</x:row>
    <x:row r="43" ht="25" customHeight="1">
      <x:c r="C43" s="30" t="str">
        <x:v>Family purchasing responses</x:v>
      </x:c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4"/>
      <x:c r="Q43" s="4"/>
    </x:row>
    <x:row r="44" ht="32" customHeight="1">
      <x:c r="C44" s="18" t="str">
        <x:v>Family</x:v>
      </x:c>
      <x:c r="D44" s="19" t="str">
        <x:v>Build weight</x:v>
      </x:c>
      <x:c r="E44" s="19" t="str">
        <x:v>Exponent</x:v>
      </x:c>
      <x:c r="F44" s="19" t="str">
        <x:v>Price factor</x:v>
      </x:c>
      <x:c r="G44" s="19" t="str">
        <x:v>AI exposure</x:v>
      </x:c>
      <x:c r="H44" s="19" t="str">
        <x:v>Activity</x:v>
      </x:c>
      <x:c r="I44" s="19" t="str">
        <x:v>Raw increment</x:v>
      </x:c>
      <x:c r="J44" s="19" t="str">
        <x:v>Lab increment</x:v>
      </x:c>
      <x:c r="K44" s="19" t="str">
        <x:v>Mfg increment</x:v>
      </x:c>
      <x:c r="L44" s="19" t="str">
        <x:v>AI cohort</x:v>
      </x:c>
      <x:c r="M44" s="19" t="str">
        <x:v>Whole family</x:v>
      </x:c>
      <x:c r="N44" s="19" t="str">
        <x:v>Cohort rank</x:v>
      </x:c>
      <x:c r="O44" s="19" t="str">
        <x:v>Whole rank</x:v>
      </x:c>
      <x:c r="P44" s="4"/>
      <x:c r="Q44" s="4"/>
    </x:row>
    <x:row r="45" ht="23" customHeight="1">
      <x:c r="C45" s="2" t="str">
        <x:v>Molecular construction</x:v>
      </x:c>
      <x:c r="D45" s="39" t="n">
        <x:f>'Inputs'!D32</x:f>
        <x:v>1</x:v>
      </x:c>
      <x:c r="E45" s="38" t="n">
        <x:f>'Inputs'!E32</x:f>
        <x:v>0.9</x:v>
      </x:c>
      <x:c r="F45" s="38" t="n">
        <x:f>'Inputs'!F32</x:f>
        <x:v>1</x:v>
      </x:c>
      <x:c r="G45" s="39" t="n">
        <x:f>'Inputs'!G32</x:f>
        <x:v>0.12</x:v>
      </x:c>
      <x:c r="H45" s="40" t="n">
        <x:f>D45*$D$34+(1-D45)*$E$34</x:f>
        <x:v>2.5618749999999997</x:v>
      </x:c>
      <x:c r="I45" s="25" t="n">
        <x:f>H45^E45-1</x:f>
        <x:v>1.3318582246810866</x:v>
      </x:c>
      <x:c r="J45" s="25" t="n">
        <x:f>I45</x:f>
        <x:v>1.3318582246810866</x:v>
      </x:c>
      <x:c r="K45" s="25" t="n">
        <x:f>0</x:f>
        <x:v>0</x:v>
      </x:c>
      <x:c r="L45" s="41" t="n">
        <x:f>IF('Inputs'!$D$39="Valid",1+SUM(J45:K45)*F45,NA())</x:f>
        <x:v>2.3318582246810866</x:v>
      </x:c>
      <x:c r="M45" s="40" t="n">
        <x:f>1+G45*(L45-1)</x:f>
        <x:v>1.1598229869617305</x:v>
      </x:c>
      <x:c r="N45" s="45" t="n">
        <x:f>1+COUNTIFS($L$45:$L$50,"&gt;"&amp;L45)</x:f>
        <x:v>2</x:v>
      </x:c>
      <x:c r="O45" s="45" t="n">
        <x:f>1+COUNTIFS($M$45:$M$50,"&gt;"&amp;M45)</x:f>
        <x:v>2</x:v>
      </x:c>
      <x:c r="P45" s="4"/>
      <x:c r="Q45" s="4"/>
    </x:row>
    <x:row r="46" ht="23" customHeight="1">
      <x:c r="C46" s="2" t="str">
        <x:v>Protein &amp; functional assays</x:v>
      </x:c>
      <x:c r="D46" s="39" t="n">
        <x:f>'Inputs'!D33</x:f>
        <x:v>0.15</x:v>
      </x:c>
      <x:c r="E46" s="38" t="n">
        <x:f>'Inputs'!E33</x:f>
        <x:v>0.95</x:v>
      </x:c>
      <x:c r="F46" s="38" t="n">
        <x:f>'Inputs'!F33</x:f>
        <x:v>1</x:v>
      </x:c>
      <x:c r="G46" s="39" t="n">
        <x:f>'Inputs'!G33</x:f>
        <x:v>0.2</x:v>
      </x:c>
      <x:c r="H46" s="40" t="n">
        <x:f>D46*$D$34+(1-D46)*$E$34</x:f>
        <x:v>2.7136</x:v>
      </x:c>
      <x:c r="I46" s="25" t="n">
        <x:f>H46^E46-1</x:f>
        <x:v>1.5814786586911738</x:v>
      </x:c>
      <x:c r="J46" s="25" t="n">
        <x:f>I46</x:f>
        <x:v>1.5814786586911738</x:v>
      </x:c>
      <x:c r="K46" s="25" t="n">
        <x:f>0</x:f>
        <x:v>0</x:v>
      </x:c>
      <x:c r="L46" s="41" t="n">
        <x:f>IF('Inputs'!$D$39="Valid",1+SUM(J46:K46)*F46,NA())</x:f>
        <x:v>2.5814786586911738</x:v>
      </x:c>
      <x:c r="M46" s="40" t="n">
        <x:f>1+G46*(L46-1)</x:f>
        <x:v>1.3162957317382347</x:v>
      </x:c>
      <x:c r="N46" s="45" t="n">
        <x:f>1+COUNTIFS($L$45:$L$50,"&gt;"&amp;L46)</x:f>
        <x:v>1</x:v>
      </x:c>
      <x:c r="O46" s="45" t="n">
        <x:f>1+COUNTIFS($M$45:$M$50,"&gt;"&amp;M46)</x:f>
        <x:v>1</x:v>
      </x:c>
      <x:c r="P46" s="4"/>
      <x:c r="Q46" s="4"/>
    </x:row>
    <x:row r="47" ht="23" customHeight="1">
      <x:c r="C47" s="2" t="str">
        <x:v>Cells &amp; culture systems</x:v>
      </x:c>
      <x:c r="D47" s="39" t="n">
        <x:f>'Inputs'!D34</x:f>
        <x:v>0.1</x:v>
      </x:c>
      <x:c r="E47" s="38" t="n">
        <x:f>'Inputs'!E34</x:f>
        <x:v>0.75</x:v>
      </x:c>
      <x:c r="F47" s="38" t="n">
        <x:f>'Inputs'!F34</x:f>
        <x:v>1</x:v>
      </x:c>
      <x:c r="G47" s="39" t="n">
        <x:f>'Inputs'!G34</x:f>
        <x:v>0.1</x:v>
      </x:c>
      <x:c r="H47" s="40" t="n">
        <x:f>D47*$D$34+(1-D47)*$E$34</x:f>
        <x:v>2.722525</x:v>
      </x:c>
      <x:c r="I47" s="25" t="n">
        <x:f>H47^E47-1</x:f>
        <x:v>1.1194779723181947</x:v>
      </x:c>
      <x:c r="J47" s="25" t="n">
        <x:f>I47</x:f>
        <x:v>1.1194779723181947</x:v>
      </x:c>
      <x:c r="K47" s="25" t="n">
        <x:f>0</x:f>
        <x:v>0</x:v>
      </x:c>
      <x:c r="L47" s="41" t="n">
        <x:f>IF('Inputs'!$D$39="Valid",1+SUM(J47:K47)*F47,NA())</x:f>
        <x:v>2.1194779723181947</x:v>
      </x:c>
      <x:c r="M47" s="40" t="n">
        <x:f>1+G47*(L47-1)</x:f>
        <x:v>1.1119477972318195</x:v>
      </x:c>
      <x:c r="N47" s="45" t="n">
        <x:f>1+COUNTIFS($L$45:$L$50,"&gt;"&amp;L47)</x:f>
        <x:v>3</x:v>
      </x:c>
      <x:c r="O47" s="45" t="n">
        <x:f>1+COUNTIFS($M$45:$M$50,"&gt;"&amp;M47)</x:f>
        <x:v>4</x:v>
      </x:c>
      <x:c r="P47" s="4"/>
      <x:c r="Q47" s="4"/>
    </x:row>
    <x:row r="48" ht="23" customHeight="1">
      <x:c r="C48" s="2" t="str">
        <x:v>Labware &amp; sample handling</x:v>
      </x:c>
      <x:c r="D48" s="39" t="n">
        <x:f>'Inputs'!D35</x:f>
        <x:v>0.35</x:v>
      </x:c>
      <x:c r="E48" s="38" t="n">
        <x:f>'Inputs'!E35</x:f>
        <x:v>0.4</x:v>
      </x:c>
      <x:c r="F48" s="38" t="n">
        <x:f>'Inputs'!F35</x:f>
        <x:v>1</x:v>
      </x:c>
      <x:c r="G48" s="39" t="n">
        <x:f>'Inputs'!G35</x:f>
        <x:v>0.08</x:v>
      </x:c>
      <x:c r="H48" s="40" t="n">
        <x:f>D48*$D$34+(1-D48)*$E$34</x:f>
        <x:v>2.6779</x:v>
      </x:c>
      <x:c r="I48" s="25" t="n">
        <x:f>H48^E48-1</x:f>
        <x:v>0.4829200669017424</x:v>
      </x:c>
      <x:c r="J48" s="25" t="n">
        <x:f>I48</x:f>
        <x:v>0.4829200669017424</x:v>
      </x:c>
      <x:c r="K48" s="25" t="n">
        <x:f>0</x:f>
        <x:v>0</x:v>
      </x:c>
      <x:c r="L48" s="41" t="n">
        <x:f>IF('Inputs'!$D$39="Valid",1+SUM(J48:K48)*F48,NA())</x:f>
        <x:v>1.4829200669017424</x:v>
      </x:c>
      <x:c r="M48" s="40" t="n">
        <x:f>1+G48*(L48-1)</x:f>
        <x:v>1.0386336053521394</x:v>
      </x:c>
      <x:c r="N48" s="45" t="n">
        <x:f>1+COUNTIFS($L$45:$L$50,"&gt;"&amp;L48)</x:f>
        <x:v>5</x:v>
      </x:c>
      <x:c r="O48" s="45" t="n">
        <x:f>1+COUNTIFS($M$45:$M$50,"&gt;"&amp;M48)</x:f>
        <x:v>5</x:v>
      </x:c>
      <x:c r="P48" s="4"/>
      <x:c r="Q48" s="4"/>
    </x:row>
    <x:row r="49" ht="23" customHeight="1">
      <x:c r="C49" s="2" t="str">
        <x:v>Measurement &amp; analytics</x:v>
      </x:c>
      <x:c r="D49" s="39" t="n">
        <x:f>'Inputs'!D36</x:f>
        <x:v>0.05</x:v>
      </x:c>
      <x:c r="E49" s="38" t="n">
        <x:f>'Inputs'!E36</x:f>
        <x:v>0.7</x:v>
      </x:c>
      <x:c r="F49" s="38" t="n">
        <x:f>'Inputs'!F36</x:f>
        <x:v>1</x:v>
      </x:c>
      <x:c r="G49" s="39" t="n">
        <x:f>'Inputs'!G36</x:f>
        <x:v>0.12</x:v>
      </x:c>
      <x:c r="H49" s="40" t="n">
        <x:f>D49*$D$34+(1-D49)*$E$34</x:f>
        <x:v>2.73145</x:v>
      </x:c>
      <x:c r="I49" s="25" t="n">
        <x:f>H49^E49-1</x:f>
        <x:v>1.020576410837624</x:v>
      </x:c>
      <x:c r="J49" s="25" t="n">
        <x:f>I49</x:f>
        <x:v>1.020576410837624</x:v>
      </x:c>
      <x:c r="K49" s="25" t="n">
        <x:f>0</x:f>
        <x:v>0</x:v>
      </x:c>
      <x:c r="L49" s="41" t="n">
        <x:f>IF('Inputs'!$D$39="Valid",1+SUM(J49:K49)*F49,NA())</x:f>
        <x:v>2.020576410837624</x:v>
      </x:c>
      <x:c r="M49" s="40" t="n">
        <x:f>1+G49*(L49-1)</x:f>
        <x:v>1.1224691693005149</x:v>
      </x:c>
      <x:c r="N49" s="45" t="n">
        <x:f>1+COUNTIFS($L$45:$L$50,"&gt;"&amp;L49)</x:f>
        <x:v>4</x:v>
      </x:c>
      <x:c r="O49" s="45" t="n">
        <x:f>1+COUNTIFS($M$45:$M$50,"&gt;"&amp;M49)</x:f>
        <x:v>3</x:v>
      </x:c>
      <x:c r="P49" s="4"/>
      <x:c r="Q49" s="4"/>
    </x:row>
    <x:row r="50" ht="23" customHeight="1">
      <x:c r="C50" s="2" t="str">
        <x:v>Purification &amp; scale-up</x:v>
      </x:c>
      <x:c r="D50" s="39" t="n">
        <x:f>'Inputs'!D37</x:f>
        <x:v>0.6</x:v>
      </x:c>
      <x:c r="E50" s="38" t="n">
        <x:f>'Inputs'!E37</x:f>
        <x:v>0.5</x:v>
      </x:c>
      <x:c r="F50" s="38" t="n">
        <x:f>'Inputs'!F37</x:f>
        <x:v>1</x:v>
      </x:c>
      <x:c r="G50" s="39" t="n">
        <x:f>'Inputs'!G37</x:f>
        <x:v>0.06</x:v>
      </x:c>
      <x:c r="H50" s="40" t="n">
        <x:f>D50*$D$34+(1-D50)*$E$34</x:f>
        <x:v>2.6332750000000003</x:v>
      </x:c>
      <x:c r="I50" s="25" t="n">
        <x:f>H50^E50-1</x:f>
        <x:v>0.6227368856348834</x:v>
      </x:c>
      <x:c r="J50" s="38" t="n">
        <x:f>'Inputs'!$D$22*I50</x:f>
        <x:v>0.21795790997220918</x:v>
      </x:c>
      <x:c r="K50" s="38" t="n">
        <x:f>(1-'Inputs'!$D$22)*'Inputs'!$D$23*(H50^'Inputs'!$D$26-1)</x:f>
        <x:v>0</x:v>
      </x:c>
      <x:c r="L50" s="41" t="n">
        <x:f>IF('Inputs'!$D$39="Valid",1+SUM(J50:K50)*F50,NA())</x:f>
        <x:v>1.217957909972209</x:v>
      </x:c>
      <x:c r="M50" s="40" t="n">
        <x:f>1+G50*(L50-1)</x:f>
        <x:v>1.0130774745983326</x:v>
      </x:c>
      <x:c r="N50" s="45" t="n">
        <x:f>1+COUNTIFS($L$45:$L$50,"&gt;"&amp;L50)</x:f>
        <x:v>6</x:v>
      </x:c>
      <x:c r="O50" s="45" t="n">
        <x:f>1+COUNTIFS($M$45:$M$50,"&gt;"&amp;M50)</x:f>
        <x:v>6</x:v>
      </x:c>
      <x:c r="P50" s="4"/>
      <x:c r="Q50" s="4"/>
    </x:row>
    <x:row r="51" ht="23" customHeight="1">
      <x:c r="C51" s="2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</x:row>
    <x:row r="52" ht="23" customHeight="1">
      <x:c r="C52" s="2" t="str">
        <x:v>Purification separates lab/analytical inputs from manufacturing. Manufacturing pass-through defaults to zero.</x:v>
      </x:c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</x:row>
    <x:row r="53" ht="23" customHeight="1">
      <x:c r="C53" s="2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</x:row>
    <x:row r="54" ht="23" customHeight="1">
      <x:c r="C54" s="2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</x:row>
    <x:row r="55" ht="25" customHeight="1">
      <x:c r="C55" s="30" t="str">
        <x:v>Throughput ramp</x:v>
      </x:c>
      <x:c r="D55" s="31"/>
      <x:c r="E55" s="31"/>
      <x:c r="F55" s="31"/>
      <x:c r="G55" s="31"/>
      <x:c r="H55" s="31"/>
      <x:c r="I55" s="31"/>
      <x:c r="J55" s="4"/>
      <x:c r="K55" s="4"/>
      <x:c r="L55" s="4"/>
      <x:c r="M55" s="4"/>
      <x:c r="N55" s="4"/>
      <x:c r="O55" s="4"/>
      <x:c r="P55" s="4"/>
      <x:c r="Q55" s="4"/>
    </x:row>
    <x:row r="56" ht="32" customHeight="1">
      <x:c r="C56" s="18" t="str">
        <x:v>Deployment year</x:v>
      </x:c>
      <x:c r="D56" s="47" t="n">
        <x:f>$D$9*0/5</x:f>
        <x:v>0</x:v>
      </x:c>
      <x:c r="E56" s="47" t="n">
        <x:f>$D$9*1/5</x:f>
        <x:v>1</x:v>
      </x:c>
      <x:c r="F56" s="47" t="n">
        <x:f>$D$9*2/5</x:f>
        <x:v>2</x:v>
      </x:c>
      <x:c r="G56" s="47" t="n">
        <x:f>$D$9*3/5</x:f>
        <x:v>3</x:v>
      </x:c>
      <x:c r="H56" s="47" t="n">
        <x:f>$D$9*4/5</x:f>
        <x:v>4</x:v>
      </x:c>
      <x:c r="I56" s="47" t="n">
        <x:f>$D$9*5/5</x:f>
        <x:v>5</x:v>
      </x:c>
      <x:c r="J56" s="4"/>
      <x:c r="K56" s="4"/>
      <x:c r="L56" s="4"/>
      <x:c r="M56" s="4"/>
      <x:c r="N56" s="4"/>
      <x:c r="O56" s="4"/>
      <x:c r="P56" s="4"/>
      <x:c r="Q56" s="4"/>
    </x:row>
    <x:row r="57" ht="23" customHeight="1">
      <x:c r="C57" s="2" t="str">
        <x:v>Commissioned equipment stock</x:v>
      </x:c>
      <x:c r="D57" s="25" t="n">
        <x:f>IF(D$56&lt;=$D$9,$D$18*MAX(0,D$56-$D$19)/$D$9,"")</x:f>
        <x:v>0</x:v>
      </x:c>
      <x:c r="E57" s="25" t="n">
        <x:f>IF(E$56&lt;=$D$9,$D$18*MAX(0,E$56-$D$19)/$D$9,"")</x:f>
        <x:v>1.575</x:v>
      </x:c>
      <x:c r="F57" s="25" t="n">
        <x:f>IF(F$56&lt;=$D$9,$D$18*MAX(0,F$56-$D$19)/$D$9,"")</x:f>
        <x:v>3.15</x:v>
      </x:c>
      <x:c r="G57" s="25" t="n">
        <x:f>IF(G$56&lt;=$D$9,$D$18*MAX(0,G$56-$D$19)/$D$9,"")</x:f>
        <x:v>4.725</x:v>
      </x:c>
      <x:c r="H57" s="25" t="n">
        <x:f>IF(H$56&lt;=$D$9,$D$18*MAX(0,H$56-$D$19)/$D$9,"")</x:f>
        <x:v>6.3</x:v>
      </x:c>
      <x:c r="I57" s="25" t="n">
        <x:f>IF(I$56&lt;=$D$9,$D$18*MAX(0,I$56-$D$19)/$D$9,"")</x:f>
        <x:v>7.875</x:v>
      </x:c>
      <x:c r="J57" s="4"/>
      <x:c r="K57" s="4"/>
      <x:c r="L57" s="4"/>
      <x:c r="M57" s="4"/>
      <x:c r="N57" s="4"/>
      <x:c r="O57" s="4"/>
      <x:c r="P57" s="4"/>
      <x:c r="Q57" s="4"/>
    </x:row>
    <x:row r="58" ht="23" customHeight="1">
      <x:c r="C58" s="2" t="str">
        <x:v>Build equipment increment</x:v>
      </x:c>
      <x:c r="D58" s="40" t="n">
        <x:f>IF(D$56&lt;=$D$9,D57*$D$26/$D$27,"")</x:f>
        <x:v>0</x:v>
      </x:c>
      <x:c r="E58" s="40" t="n">
        <x:f>IF(E$56&lt;=$D$9,E57*$D$26/$D$27,"")</x:f>
        <x:v>0.36749999999999994</x:v>
      </x:c>
      <x:c r="F58" s="40" t="n">
        <x:f>IF(F$56&lt;=$D$9,F57*$D$26/$D$27,"")</x:f>
        <x:v>0.7349999999999999</x:v>
      </x:c>
      <x:c r="G58" s="40" t="n">
        <x:f>IF(G$56&lt;=$D$9,G57*$D$26/$D$27,"")</x:f>
        <x:v>1.1024999999999998</x:v>
      </x:c>
      <x:c r="H58" s="40" t="n">
        <x:f>IF(H$56&lt;=$D$9,H57*$D$26/$D$27,"")</x:f>
        <x:v>1.4699999999999998</x:v>
      </x:c>
      <x:c r="I58" s="40" t="n">
        <x:f>IF(I$56&lt;=$D$9,I57*$D$26/$D$27,"")</x:f>
        <x:v>1.8374999999999997</x:v>
      </x:c>
      <x:c r="J58" s="4"/>
      <x:c r="K58" s="4"/>
      <x:c r="L58" s="4"/>
      <x:c r="M58" s="4"/>
      <x:c r="N58" s="4"/>
      <x:c r="O58" s="4"/>
      <x:c r="P58" s="4"/>
      <x:c r="Q58" s="4"/>
    </x:row>
    <x:row r="59" ht="23" customHeight="1">
      <x:c r="C59" s="2" t="str">
        <x:v>Test equipment increment</x:v>
      </x:c>
      <x:c r="D59" s="40" t="n">
        <x:f>IF(D$56&lt;=$D$9,D57*$E$26/$E$27,"")</x:f>
        <x:v>0</x:v>
      </x:c>
      <x:c r="E59" s="40" t="n">
        <x:f>IF(E$56&lt;=$D$9,E57*$E$26/$E$27,"")</x:f>
        <x:v>0.4095</x:v>
      </x:c>
      <x:c r="F59" s="40" t="n">
        <x:f>IF(F$56&lt;=$D$9,F57*$E$26/$E$27,"")</x:f>
        <x:v>0.819</x:v>
      </x:c>
      <x:c r="G59" s="40" t="n">
        <x:f>IF(G$56&lt;=$D$9,G57*$E$26/$E$27,"")</x:f>
        <x:v>1.2285</x:v>
      </x:c>
      <x:c r="H59" s="40" t="n">
        <x:f>IF(H$56&lt;=$D$9,H57*$E$26/$E$27,"")</x:f>
        <x:v>1.638</x:v>
      </x:c>
      <x:c r="I59" s="40" t="n">
        <x:f>IF(I$56&lt;=$D$9,I57*$E$26/$E$27,"")</x:f>
        <x:v>2.0475000000000003</x:v>
      </x:c>
      <x:c r="J59" s="4"/>
      <x:c r="K59" s="4"/>
      <x:c r="L59" s="4"/>
      <x:c r="M59" s="4"/>
      <x:c r="N59" s="4"/>
      <x:c r="O59" s="4"/>
      <x:c r="P59" s="4"/>
      <x:c r="Q59" s="4"/>
    </x:row>
    <x:row r="60" ht="23" customHeight="1">
      <x:c r="C60" s="2" t="str">
        <x:v>Build funded throughput</x:v>
      </x:c>
      <x:c r="D60" s="41" t="n">
        <x:f>IF(D$56&lt;=$D$9,MIN('Inputs'!$D$25,1+'Inputs'!$D$19*'Inputs'!$D$20*MIN(D58,$D$32)),"")</x:f>
        <x:v>1</x:v>
      </x:c>
      <x:c r="E60" s="41" t="n">
        <x:f>IF(E$56&lt;=$D$9,MIN('Inputs'!$D$25,1+'Inputs'!$D$19*'Inputs'!$D$20*MIN(E58,$D$32)),"")</x:f>
        <x:v>1.3123749999999998</x:v>
      </x:c>
      <x:c r="F60" s="41" t="n">
        <x:f>IF(F$56&lt;=$D$9,MIN('Inputs'!$D$25,1+'Inputs'!$D$19*'Inputs'!$D$20*MIN(F58,$D$32)),"")</x:f>
        <x:v>1.62475</x:v>
      </x:c>
      <x:c r="G60" s="41" t="n">
        <x:f>IF(G$56&lt;=$D$9,MIN('Inputs'!$D$25,1+'Inputs'!$D$19*'Inputs'!$D$20*MIN(G58,$D$32)),"")</x:f>
        <x:v>1.9371249999999998</x:v>
      </x:c>
      <x:c r="H60" s="41" t="n">
        <x:f>IF(H$56&lt;=$D$9,MIN('Inputs'!$D$25,1+'Inputs'!$D$19*'Inputs'!$D$20*MIN(H58,$D$32)),"")</x:f>
        <x:v>2.2495</x:v>
      </x:c>
      <x:c r="I60" s="41" t="n">
        <x:f>IF(I$56&lt;=$D$9,MIN('Inputs'!$D$25,1+'Inputs'!$D$19*'Inputs'!$D$20*MIN(I58,$D$32)),"")</x:f>
        <x:v>2.5618749999999997</x:v>
      </x:c>
      <x:c r="J60" s="4"/>
      <x:c r="K60" s="4"/>
      <x:c r="L60" s="4"/>
      <x:c r="M60" s="4"/>
      <x:c r="N60" s="4"/>
      <x:c r="O60" s="4"/>
      <x:c r="P60" s="4"/>
      <x:c r="Q60" s="4"/>
    </x:row>
    <x:row r="61" ht="23" customHeight="1">
      <x:c r="C61" s="2" t="str">
        <x:v>Test funded throughput</x:v>
      </x:c>
      <x:c r="D61" s="41" t="n">
        <x:f>IF(D$56&lt;=$D$9,MIN('Inputs'!$D$25,1+'Inputs'!$D$19*'Inputs'!$D$20*MIN(D59,$E$32)),"")</x:f>
        <x:v>1</x:v>
      </x:c>
      <x:c r="E61" s="41" t="n">
        <x:f>IF(E$56&lt;=$D$9,MIN('Inputs'!$D$25,1+'Inputs'!$D$19*'Inputs'!$D$20*MIN(E59,$E$32)),"")</x:f>
        <x:v>1.348075</x:v>
      </x:c>
      <x:c r="F61" s="41" t="n">
        <x:f>IF(F$56&lt;=$D$9,MIN('Inputs'!$D$25,1+'Inputs'!$D$19*'Inputs'!$D$20*MIN(F59,$E$32)),"")</x:f>
        <x:v>1.6961499999999998</x:v>
      </x:c>
      <x:c r="G61" s="41" t="n">
        <x:f>IF(G$56&lt;=$D$9,MIN('Inputs'!$D$25,1+'Inputs'!$D$19*'Inputs'!$D$20*MIN(G59,$E$32)),"")</x:f>
        <x:v>2.044225</x:v>
      </x:c>
      <x:c r="H61" s="41" t="n">
        <x:f>IF(H$56&lt;=$D$9,MIN('Inputs'!$D$25,1+'Inputs'!$D$19*'Inputs'!$D$20*MIN(H59,$E$32)),"")</x:f>
        <x:v>2.3922999999999996</x:v>
      </x:c>
      <x:c r="I61" s="41" t="n">
        <x:f>IF(I$56&lt;=$D$9,MIN('Inputs'!$D$25,1+'Inputs'!$D$19*'Inputs'!$D$20*MIN(I59,$E$32)),"")</x:f>
        <x:v>2.7403750000000002</x:v>
      </x:c>
      <x:c r="J61" s="4"/>
      <x:c r="K61" s="4"/>
      <x:c r="L61" s="4"/>
      <x:c r="M61" s="4"/>
      <x:c r="N61" s="4"/>
      <x:c r="O61" s="4"/>
      <x:c r="P61" s="4"/>
      <x:c r="Q61" s="4"/>
    </x:row>
    <x:row r="62" ht="23" customHeight="1">
      <x:c r="C62" s="2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</x:row>
    <x:row r="63" ht="23" customHeight="1">
      <x:c r="C63" s="2" t="str">
        <x:v>Six equally spaced points span deployment. Continued execution needs recurring annual funding.</x:v>
      </x:c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</x:row>
    <x:row r="64" ht="23" customHeight="1">
      <x:c r="C64" s="2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</x:row>
    <x:row r="65" ht="23" customHeight="1">
      <x:c r="C65" s="2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</x:row>
    <x:row r="66" ht="25" customHeight="1">
      <x:c r="C66" s="30" t="str">
        <x:v>Target funding backsolve</x:v>
      </x:c>
      <x:c r="D66" s="31"/>
      <x:c r="E66" s="31"/>
      <x:c r="F66" s="31"/>
      <x:c r="G66" s="31"/>
      <x:c r="H66" s="31"/>
      <x:c r="I66" s="31"/>
      <x:c r="J66" s="31"/>
      <x:c r="K66" s="31"/>
      <x:c r="L66" s="4"/>
      <x:c r="M66" s="4"/>
      <x:c r="N66" s="4"/>
      <x:c r="O66" s="4"/>
      <x:c r="P66" s="4"/>
      <x:c r="Q66" s="4"/>
    </x:row>
    <x:row r="67" ht="32" customHeight="1">
      <x:c r="C67" s="18" t="str">
        <x:v>Target</x:v>
      </x:c>
      <x:c r="D67" s="19" t="str">
        <x:v>Required increment</x:v>
      </x:c>
      <x:c r="E67" s="19" t="str">
        <x:v>Build capital</x:v>
      </x:c>
      <x:c r="F67" s="19" t="str">
        <x:v>Build running</x:v>
      </x:c>
      <x:c r="G67" s="19" t="str">
        <x:v>Test capital</x:v>
      </x:c>
      <x:c r="H67" s="19" t="str">
        <x:v>Test running</x:v>
      </x:c>
      <x:c r="I67" s="19" t="str">
        <x:v>Both stages</x:v>
      </x:c>
      <x:c r="J67" s="19" t="str">
        <x:v>Funding gap</x:v>
      </x:c>
      <x:c r="K67" s="19" t="str">
        <x:v>Within $200bn</x:v>
      </x:c>
      <x:c r="L67" s="4"/>
      <x:c r="M67" s="4"/>
      <x:c r="N67" s="4"/>
      <x:c r="O67" s="4"/>
      <x:c r="P67" s="4"/>
      <x:c r="Q67" s="4"/>
    </x:row>
    <x:row r="68" ht="23" customHeight="1">
      <x:c r="C68" s="50" t="n">
        <x:f>'Inputs'!D24</x:f>
        <x:v>2</x:v>
      </x:c>
      <x:c r="D68" s="41" t="n">
        <x:f>IF($D$72,(C68-1)/('Inputs'!$D$19*'Inputs'!$D$20),"n.a.")</x:f>
        <x:v>1.1764705882352942</x:v>
      </x:c>
      <x:c r="E68" s="25" t="n">
        <x:f>IF($D$72,D68*$D$27/($D$11*$D$12*$D$26*$D$20),"n.a.")</x:f>
        <x:v>32.012805122048825</x:v>
      </x:c>
      <x:c r="F68" s="25" t="n">
        <x:f>IF($D$72,D68*$D$9*$D$28/($D$11*(1-$D$12)*$D$26),"n.a.")</x:f>
        <x:v>30.557677616501152</x:v>
      </x:c>
      <x:c r="G68" s="25" t="n">
        <x:f>IF($D$72,D68*$E$27/($D$11*$D$12*$E$26*$D$20),"n.a.")</x:f>
        <x:v>28.729440494146377</x:v>
      </x:c>
      <x:c r="H68" s="25" t="n">
        <x:f>IF($D$72,D68*$D$9*$E$28/($D$11*(1-$D$12)*$E$26),"n.a.")</x:f>
        <x:v>25.85649644473174</x:v>
      </x:c>
      <x:c r="I68" s="25" t="n">
        <x:f>IF($D$72,MAX(E68:H68),"n.a.")</x:f>
        <x:v>32.012805122048825</x:v>
      </x:c>
      <x:c r="J68" s="25" t="n">
        <x:f>IF(ISNUMBER(I68),MAX(0,I68-$D$8),"n.a.")</x:f>
        <x:v>0</x:v>
      </x:c>
      <x:c r="K68" s="25" t="str">
        <x:f>IF(ISNUMBER(I68),IF(I68&lt;=200,"Yes","No"),"Infeasible")</x:f>
        <x:v>Yes</x:v>
      </x:c>
      <x:c r="L68" s="4"/>
      <x:c r="M68" s="4"/>
      <x:c r="N68" s="4"/>
      <x:c r="O68" s="4"/>
      <x:c r="P68" s="4"/>
      <x:c r="Q68" s="4"/>
    </x:row>
    <x:row r="69" ht="23" customHeight="1">
      <x:c r="C69" s="50" t="n">
        <x:f>'Inputs'!D25</x:f>
        <x:v>10</x:v>
      </x:c>
      <x:c r="D69" s="41" t="n">
        <x:f>IF($D$72,(C69-1)/('Inputs'!$D$19*'Inputs'!$D$20),"n.a.")</x:f>
        <x:v>10.588235294117647</x:v>
      </x:c>
      <x:c r="E69" s="25" t="n">
        <x:f>IF($D$72,D69*$D$27/($D$11*$D$12*$D$26*$D$20),"n.a.")</x:f>
        <x:v>288.1152460984394</x:v>
      </x:c>
      <x:c r="F69" s="25" t="n">
        <x:f>IF($D$72,D69*$D$9*$D$28/($D$11*(1-$D$12)*$D$26),"n.a.")</x:f>
        <x:v>275.0190985485103</x:v>
      </x:c>
      <x:c r="G69" s="25" t="n">
        <x:f>IF($D$72,D69*$E$27/($D$11*$D$12*$E$26*$D$20),"n.a.")</x:f>
        <x:v>258.5649644473174</x:v>
      </x:c>
      <x:c r="H69" s="25" t="n">
        <x:f>IF($D$72,D69*$D$9*$E$28/($D$11*(1-$D$12)*$E$26),"n.a.")</x:f>
        <x:v>232.70846800258562</x:v>
      </x:c>
      <x:c r="I69" s="25" t="n">
        <x:f>IF($D$72,MAX(E69:H69),"n.a.")</x:f>
        <x:v>288.1152460984394</x:v>
      </x:c>
      <x:c r="J69" s="25" t="n">
        <x:f>IF(ISNUMBER(I69),MAX(0,I69-$D$8),"n.a.")</x:f>
        <x:v>238.1152460984394</x:v>
      </x:c>
      <x:c r="K69" s="25" t="str">
        <x:f>IF(ISNUMBER(I69),IF(I69&lt;=200,"Yes","No"),"Infeasible")</x:f>
        <x:v>No</x:v>
      </x:c>
      <x:c r="L69" s="4"/>
      <x:c r="M69" s="4"/>
      <x:c r="N69" s="4"/>
      <x:c r="O69" s="4"/>
      <x:c r="P69" s="4"/>
      <x:c r="Q69" s="4"/>
    </x:row>
    <x:row r="70" ht="23" customHeight="1">
      <x:c r="C70" s="2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</x:row>
    <x:row r="71" ht="23" customHeight="1">
      <x:c r="C71" s="2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</x:row>
    <x:row r="72" ht="23" customHeight="1">
      <x:c r="C72" s="2" t="str">
        <x:v>Both-stage target feasible</x:v>
      </x:c>
      <x:c r="D72" s="48" t="b">
        <x:f>AND($D$20&gt;0,$D$11&gt;0,$D$12&gt;0,$D$12&lt;1,$D$26&gt;0,$E$26&gt;0,'Inputs'!$D$19&gt;0,'Inputs'!$D$20&gt;0)</x:f>
        <x:v>1</x:v>
      </x:c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</x:row>
    <x:row r="73" ht="23" customHeight="1">
      <x:c r="C73" s="2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</x:row>
    <x:row r="74" ht="23" customHeight="1">
      <x:c r="C74" s="2" t="str">
        <x:v>Funding needs may exceed the slider range. No ceiling is applied to the target backsolve.</x:v>
      </x:c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</x:row>
    <x:row r="75" ht="23" customHeight="1">
      <x:c r="C75" s="2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</x:row>
    <x:row r="76" ht="23" customHeight="1">
      <x:c r="C76" s="2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</x:row>
    <x:row r="77" ht="32" customHeight="1">
      <x:c r="C77" s="18" t="str">
        <x:v>Family</x:v>
      </x:c>
      <x:c r="D77" s="19" t="str">
        <x:v>AI cohort</x:v>
      </x:c>
      <x:c r="E77" s="19" t="str">
        <x:v>Whole family</x:v>
      </x:c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</x:row>
    <x:row r="78" ht="23" customHeight="1">
      <x:c r="C78" s="2" t="str">
        <x:v>Molecular</x:v>
      </x:c>
      <x:c r="D78" s="25" t="n">
        <x:f>L45</x:f>
        <x:v>2.3318582246810866</x:v>
      </x:c>
      <x:c r="E78" s="25" t="n">
        <x:f>M45</x:f>
        <x:v>1.1598229869617305</x:v>
      </x:c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</x:row>
    <x:row r="79" ht="23" customHeight="1">
      <x:c r="C79" s="2" t="str">
        <x:v>Protein assays</x:v>
      </x:c>
      <x:c r="D79" s="25" t="n">
        <x:f>L46</x:f>
        <x:v>2.5814786586911738</x:v>
      </x:c>
      <x:c r="E79" s="25" t="n">
        <x:f>M46</x:f>
        <x:v>1.3162957317382347</x:v>
      </x:c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</x:row>
    <x:row r="80" ht="23" customHeight="1">
      <x:c r="C80" s="2" t="str">
        <x:v>Cells / culture</x:v>
      </x:c>
      <x:c r="D80" s="25" t="n">
        <x:f>L47</x:f>
        <x:v>2.1194779723181947</x:v>
      </x:c>
      <x:c r="E80" s="25" t="n">
        <x:f>M47</x:f>
        <x:v>1.1119477972318195</x:v>
      </x:c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</x:row>
    <x:row r="81" ht="23" customHeight="1">
      <x:c r="C81" s="2" t="str">
        <x:v>Labware</x:v>
      </x:c>
      <x:c r="D81" s="25" t="n">
        <x:f>L48</x:f>
        <x:v>1.4829200669017424</x:v>
      </x:c>
      <x:c r="E81" s="25" t="n">
        <x:f>M48</x:f>
        <x:v>1.0386336053521394</x:v>
      </x:c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</x:row>
    <x:row r="82" ht="23" customHeight="1">
      <x:c r="C82" s="2" t="str">
        <x:v>Analytics</x:v>
      </x:c>
      <x:c r="D82" s="25" t="n">
        <x:f>L49</x:f>
        <x:v>2.020576410837624</x:v>
      </x:c>
      <x:c r="E82" s="25" t="n">
        <x:f>M49</x:f>
        <x:v>1.1224691693005149</x:v>
      </x:c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</x:row>
    <x:row r="83" ht="23" customHeight="1">
      <x:c r="C83" s="2" t="str">
        <x:v>Purification</x:v>
      </x:c>
      <x:c r="D83" s="25" t="n">
        <x:f>L50</x:f>
        <x:v>1.217957909972209</x:v>
      </x:c>
      <x:c r="E83" s="25" t="n">
        <x:f>M50</x:f>
        <x:v>1.0130774745983326</x:v>
      </x:c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</x:row>
    <x:row r="84" ht="23" customHeight="1">
      <x:c r="C84" s="2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</x:row>
    <x:row r="85" ht="32" customHeight="1">
      <x:c r="C85" s="18" t="str">
        <x:v>Year</x:v>
      </x:c>
      <x:c r="D85" s="19" t="str">
        <x:v>Build</x:v>
      </x:c>
      <x:c r="E85" s="19" t="str">
        <x:v>Test</x:v>
      </x:c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</x:row>
    <x:row r="86" ht="23" customHeight="1">
      <x:c r="C86" s="11" t="n">
        <x:f>IF(D$56&lt;=$D$9,D$56,"")</x:f>
        <x:v>0</x:v>
      </x:c>
      <x:c r="D86" s="25" t="n">
        <x:f>D60</x:f>
        <x:v>1</x:v>
      </x:c>
      <x:c r="E86" s="25" t="n">
        <x:f>D61</x:f>
        <x:v>1</x:v>
      </x:c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</x:row>
    <x:row r="87" ht="23" customHeight="1">
      <x:c r="C87" s="11" t="n">
        <x:f>IF(E$56&lt;=$D$9,E$56,"")</x:f>
        <x:v>1</x:v>
      </x:c>
      <x:c r="D87" s="25" t="n">
        <x:f>E60</x:f>
        <x:v>1.3123749999999998</x:v>
      </x:c>
      <x:c r="E87" s="25" t="n">
        <x:f>E61</x:f>
        <x:v>1.348075</x:v>
      </x:c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</x:row>
    <x:row r="88" ht="23" customHeight="1">
      <x:c r="C88" s="11" t="n">
        <x:f>IF(F$56&lt;=$D$9,F$56,"")</x:f>
        <x:v>2</x:v>
      </x:c>
      <x:c r="D88" s="25" t="n">
        <x:f>F60</x:f>
        <x:v>1.62475</x:v>
      </x:c>
      <x:c r="E88" s="25" t="n">
        <x:f>F61</x:f>
        <x:v>1.6961499999999998</x:v>
      </x:c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</x:row>
    <x:row r="89" ht="23" customHeight="1">
      <x:c r="C89" s="11" t="n">
        <x:f>IF(G$56&lt;=$D$9,G$56,"")</x:f>
        <x:v>3</x:v>
      </x:c>
      <x:c r="D89" s="25" t="n">
        <x:f>G60</x:f>
        <x:v>1.9371249999999998</x:v>
      </x:c>
      <x:c r="E89" s="25" t="n">
        <x:f>G61</x:f>
        <x:v>2.044225</x:v>
      </x:c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</x:row>
    <x:row r="90" ht="23" customHeight="1">
      <x:c r="C90" s="11" t="n">
        <x:f>IF(H$56&lt;=$D$9,H$56,"")</x:f>
        <x:v>4</x:v>
      </x:c>
      <x:c r="D90" s="25" t="n">
        <x:f>H60</x:f>
        <x:v>2.2495</x:v>
      </x:c>
      <x:c r="E90" s="25" t="n">
        <x:f>H61</x:f>
        <x:v>2.3922999999999996</x:v>
      </x:c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</x:row>
    <x:row r="91" ht="23" customHeight="1">
      <x:c r="C91" s="11" t="n">
        <x:f>IF(I$56&lt;=$D$9,I$56,"")</x:f>
        <x:v>5</x:v>
      </x:c>
      <x:c r="D91" s="25" t="n">
        <x:f>I60</x:f>
        <x:v>2.5618749999999997</x:v>
      </x:c>
      <x:c r="E91" s="25" t="n">
        <x:f>I61</x:f>
        <x:v>2.7403750000000002</x:v>
      </x:c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</x:row>
    <x:row r="92" ht="23" customHeight="1">
      <x:c r="C92" s="2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</x:row>
    <x:row r="93" ht="23" customHeight="1">
      <x:c r="C93" s="2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</x:row>
    <x:row r="94" ht="23" customHeight="1">
      <x:c r="C94" s="2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8" hidden="0" customWidth="1"/>
    <x:col min="4" max="4" width="18" hidden="0" customWidth="1"/>
    <x:col min="5" max="5" width="16" hidden="0" customWidth="1"/>
    <x:col min="6" max="6" width="20" hidden="0" customWidth="1"/>
    <x:col min="7" max="7" width="17" hidden="0" customWidth="1"/>
    <x:col min="8" max="8" width="17" hidden="0" customWidth="1"/>
    <x:col min="9" max="9" width="3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</x:cols>
  <x:sheetData>
    <x:row r="2" ht="23" customHeight="1">
      <x:c r="C2" s="60" t="str">
        <x:v>Model reconciliations</x:v>
      </x:c>
      <x:c r="D2" s="61"/>
      <x:c r="E2" s="61"/>
      <x:c r="F2" s="61"/>
      <x:c r="G2" s="61"/>
      <x:c r="H2" s="61"/>
      <x:c r="I2" s="61"/>
      <x:c r="J2" s="61"/>
      <x:c r="K2" s="61"/>
      <x:c r="L2" s="61"/>
      <x:c r="M2" s="61"/>
      <x:c r="N2" s="61"/>
      <x:c r="O2" s="61"/>
      <x:c r="P2" s="61"/>
      <x:c r="Q2" s="61"/>
    </x:row>
    <x:row r="3" ht="23" customHeight="1">
      <x:c r="C3" s="62" t="str">
        <x:v>Differences use a 0.000000001 tolerance. These checks verify arithmetic, not empirical calibration.</x:v>
      </x:c>
      <x:c r="D3" s="62"/>
      <x:c r="E3" s="62"/>
      <x:c r="F3" s="62"/>
      <x:c r="G3" s="62"/>
      <x:c r="H3" s="62"/>
      <x:c r="I3" s="61"/>
      <x:c r="J3" s="61"/>
      <x:c r="K3" s="61"/>
      <x:c r="L3" s="61"/>
      <x:c r="M3" s="61"/>
      <x:c r="N3" s="61"/>
      <x:c r="O3" s="61"/>
      <x:c r="P3" s="61"/>
      <x:c r="Q3" s="61"/>
    </x:row>
    <x:row r="4" ht="23" customHeight="1">
      <x:c r="C4" s="63"/>
      <x:c r="D4" s="63"/>
      <x:c r="E4" s="63"/>
      <x:c r="F4" s="63"/>
      <x:c r="G4" s="63"/>
      <x:c r="H4" s="63"/>
      <x:c r="I4" s="61"/>
      <x:c r="J4" s="61"/>
      <x:c r="K4" s="61"/>
      <x:c r="L4" s="61"/>
      <x:c r="M4" s="61"/>
      <x:c r="N4" s="61"/>
      <x:c r="O4" s="61"/>
      <x:c r="P4" s="61"/>
      <x:c r="Q4" s="61"/>
    </x:row>
    <x:row r="5" ht="23" customHeight="1"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23" customHeight="1">
      <x:c r="C6" s="2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</x:row>
    <x:row r="7" ht="23" customHeight="1">
      <x:c r="C7" s="2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</x:row>
    <x:row r="8" ht="32" customHeight="1">
      <x:c r="C8" s="18" t="str">
        <x:v>Reconciliation</x:v>
      </x:c>
      <x:c r="D8" s="19" t="str">
        <x:v>Difference</x:v>
      </x:c>
      <x:c r="E8" s="19" t="str">
        <x:v>Units</x:v>
      </x:c>
      <x:c r="F8" s="19" t="str">
        <x:v>Status</x:v>
      </x:c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</x:row>
    <x:row r="9" ht="23" customHeight="1">
      <x:c r="C9" s="2" t="str">
        <x:v>Annual funding split</x:v>
      </x:c>
      <x:c r="D9" s="59" t="n">
        <x:f>'Calculations'!D10-SUM('Calculations'!D14,'Calculations'!D17)</x:f>
        <x:v>0</x:v>
      </x:c>
      <x:c r="E9" s="25" t="str">
        <x:v>US$bn/year</x:v>
      </x:c>
      <x:c r="F9" s="25" t="str">
        <x:f>IF(ISNUMBER(D9),IF(ABS(D9)&lt;0.000000001,"OK","CHECK"),"Not applicable")</x:f>
        <x:v>OK</x:v>
      </x:c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</x:row>
    <x:row r="10" ht="23" customHeight="1">
      <x:c r="C10" s="2" t="str">
        <x:v>Annual wet-lab funding split</x:v>
      </x:c>
      <x:c r="D10" s="59" t="n">
        <x:f>'Calculations'!D14-SUM('Calculations'!D15:D16)</x:f>
        <x:v>0</x:v>
      </x:c>
      <x:c r="E10" s="25" t="str">
        <x:v>US$bn/year</x:v>
      </x:c>
      <x:c r="F10" s="25" t="str">
        <x:f>IF(ISNUMBER(D10),IF(ABS(D10)&lt;0.000000001,"OK","CHECK"),"Not applicable")</x:f>
        <x:v>OK</x:v>
      </x:c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</x:row>
    <x:row r="11" ht="23" customHeight="1">
      <x:c r="C11" s="2" t="str">
        <x:v>Total deployed program funding</x:v>
      </x:c>
      <x:c r="D11" s="59" t="n">
        <x:f>'Inputs'!D10-'Calculations'!D10*'Inputs'!D11</x:f>
        <x:v>0</x:v>
      </x:c>
      <x:c r="E11" s="25" t="str">
        <x:v>US$bn</x:v>
      </x:c>
      <x:c r="F11" s="25" t="str">
        <x:f>IF(ISNUMBER(D11),IF(ABS(D11)&lt;0.000000001,"OK","CHECK"),"Not applicable")</x:f>
        <x:v>OK</x:v>
      </x:c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</x:row>
    <x:row r="12" ht="23" customHeight="1">
      <x:c r="C12" s="2" t="str">
        <x:v>Cumulative wet-lab stock and execution</x:v>
      </x:c>
      <x:c r="D12" s="59" t="n">
        <x:f>'Inputs'!D10*'Inputs'!D12-SUM('Calculations'!D18,'Calculations'!D16*'Inputs'!D11)</x:f>
        <x:v>0</x:v>
      </x:c>
      <x:c r="E12" s="25" t="str">
        <x:v>US$bn</x:v>
      </x:c>
      <x:c r="F12" s="25" t="str">
        <x:f>IF(ISNUMBER(D12),IF(ABS(D12)&lt;0.000000001,"OK","CHECK"),"Not applicable")</x:f>
        <x:v>OK</x:v>
      </x:c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</x:row>
    <x:row r="13" ht="23" customHeight="1">
      <x:c r="C13" s="2" t="str">
        <x:v>Commissioned equipment allocation</x:v>
      </x:c>
      <x:c r="D13" s="59" t="n">
        <x:f>'Calculations'!D21-SUM('Calculations'!D29:E29)</x:f>
        <x:v>0</x:v>
      </x:c>
      <x:c r="E13" s="25" t="str">
        <x:v>US$bn</x:v>
      </x:c>
      <x:c r="F13" s="25" t="str">
        <x:f>IF(ISNUMBER(D13),IF(ABS(D13)&lt;0.000000001,"OK","CHECK"),"Not applicable")</x:f>
        <x:v>OK</x:v>
      </x:c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</x:row>
    <x:row r="14" ht="23" customHeight="1">
      <x:c r="C14" s="2" t="str">
        <x:v>Annual lab execution allocation</x:v>
      </x:c>
      <x:c r="D14" s="59" t="n">
        <x:f>'Calculations'!D16-SUM('Calculations'!D30:E30)</x:f>
        <x:v>0</x:v>
      </x:c>
      <x:c r="E14" s="25" t="str">
        <x:v>US$bn/year</x:v>
      </x:c>
      <x:c r="F14" s="25" t="str">
        <x:f>IF(ISNUMBER(D14),IF(ABS(D14)&lt;0.000000001,"OK","CHECK"),"Not applicable")</x:f>
        <x:v>OK</x:v>
      </x:c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</x:row>
    <x:row r="15" ht="23" customHeight="1">
      <x:c r="C15" s="2" t="str">
        <x:v>Build raw throughput bridge</x:v>
      </x:c>
      <x:c r="D15" s="59" t="n">
        <x:f>'Calculations'!D33-1-'Inputs'!D19*'Inputs'!D20*MIN('Calculations'!D31:D32)</x:f>
        <x:v>0</x:v>
      </x:c>
      <x:c r="E15" s="25" t="str">
        <x:v>multiple</x:v>
      </x:c>
      <x:c r="F15" s="25" t="str">
        <x:f>IF(ISNUMBER(D15),IF(ABS(D15)&lt;0.000000001,"OK","CHECK"),"Not applicable")</x:f>
        <x:v>OK</x:v>
      </x:c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</x:row>
    <x:row r="16" ht="23" customHeight="1">
      <x:c r="C16" s="2" t="str">
        <x:v>Test raw throughput bridge</x:v>
      </x:c>
      <x:c r="D16" s="59" t="n">
        <x:f>'Calculations'!E33-1-'Inputs'!D19*'Inputs'!D20*MIN('Calculations'!E31:E32)</x:f>
        <x:v>0</x:v>
      </x:c>
      <x:c r="E16" s="25" t="str">
        <x:v>multiple</x:v>
      </x:c>
      <x:c r="F16" s="25" t="str">
        <x:f>IF(ISNUMBER(D16),IF(ABS(D16)&lt;0.000000001,"OK","CHECK"),"Not applicable")</x:f>
        <x:v>OK</x:v>
      </x:c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</x:row>
    <x:row r="17" ht="23" customHeight="1">
      <x:c r="C17" s="2" t="str">
        <x:v>Build endpoint equals ramp endpoint</x:v>
      </x:c>
      <x:c r="D17" s="59" t="n">
        <x:f>'Calculations'!D34-'Calculations'!I60</x:f>
        <x:v>0</x:v>
      </x:c>
      <x:c r="E17" s="25" t="str">
        <x:v>multiple</x:v>
      </x:c>
      <x:c r="F17" s="25" t="str">
        <x:f>IF(ISNUMBER(D17),IF(ABS(D17)&lt;0.000000001,"OK","CHECK"),"Not applicable")</x:f>
        <x:v>OK</x:v>
      </x:c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</x:row>
    <x:row r="18" ht="23" customHeight="1">
      <x:c r="C18" s="2" t="str">
        <x:v>Test endpoint equals ramp endpoint</x:v>
      </x:c>
      <x:c r="D18" s="59" t="n">
        <x:f>'Calculations'!E34-'Calculations'!I61</x:f>
        <x:v>0</x:v>
      </x:c>
      <x:c r="E18" s="25" t="str">
        <x:v>multiple</x:v>
      </x:c>
      <x:c r="F18" s="25" t="str">
        <x:f>IF(ISNUMBER(D18),IF(ABS(D18)&lt;0.000000001,"OK","CHECK"),"Not applicable")</x:f>
        <x:v>OK</x:v>
      </x:c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</x:row>
    <x:row r="19" ht="23" customHeight="1">
      <x:c r="C19" s="2" t="str">
        <x:v>Build/Test weights sum to 100%</x:v>
      </x:c>
      <x:c r="D19" s="59" t="n">
        <x:f>SUM('Calculations'!D26:E26)-1</x:f>
        <x:v>0</x:v>
      </x:c>
      <x:c r="E19" s="25" t="str">
        <x:v>fraction</x:v>
      </x:c>
      <x:c r="F19" s="25" t="str">
        <x:f>IF(ISNUMBER(D19),IF(ABS(D19)&lt;0.000000001,"OK","CHECK"),"Not applicable")</x:f>
        <x:v>OK</x:v>
      </x:c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</x:row>
    <x:row r="20" ht="23" customHeight="1">
      <x:c r="C20" s="2" t="str">
        <x:v>Both-stage 2x backsolve replay</x:v>
      </x:c>
      <x:c r="D20" s="59" t="n">
        <x:f>IF('Calculations'!$D$72,MIN(1+'Inputs'!D19*'Inputs'!D20*MIN('Calculations'!I68*'Inputs'!D12*'Inputs'!D13*(1-'Inputs'!D14)*'Calculations'!D20/'Inputs'!D15,'Calculations'!I68*'Inputs'!D12*(1-'Inputs'!D13)*(1-'Inputs'!D14)/('Inputs'!D11*'Inputs'!D17)),1+'Inputs'!D19*'Inputs'!D20*MIN('Calculations'!I68*'Inputs'!D12*'Inputs'!D13*'Inputs'!D14*'Calculations'!D20/'Inputs'!D16,'Calculations'!I68*'Inputs'!D12*(1-'Inputs'!D13)*'Inputs'!D14/('Inputs'!D11*'Inputs'!D18)))-'Inputs'!D24,"n.a.")</x:f>
        <x:v>0</x:v>
      </x:c>
      <x:c r="E20" s="25" t="str">
        <x:v>multiple</x:v>
      </x:c>
      <x:c r="F20" s="25" t="str">
        <x:f>IF(ISNUMBER(D20),IF(ABS(D20)&lt;0.000000001,"OK","CHECK"),"Not applicable")</x:f>
        <x:v>OK</x:v>
      </x:c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</x:row>
    <x:row r="21" ht="23" customHeight="1">
      <x:c r="C21" s="2" t="str">
        <x:v>Both-stage 10x backsolve replay</x:v>
      </x:c>
      <x:c r="D21" s="59" t="n">
        <x:f>IF('Calculations'!$D$72,MIN(1+'Inputs'!D19*'Inputs'!D20*MIN('Calculations'!I69*'Inputs'!D12*'Inputs'!D13*(1-'Inputs'!D14)*'Calculations'!D20/'Inputs'!D15,'Calculations'!I69*'Inputs'!D12*(1-'Inputs'!D13)*(1-'Inputs'!D14)/('Inputs'!D11*'Inputs'!D17)),1+'Inputs'!D19*'Inputs'!D20*MIN('Calculations'!I69*'Inputs'!D12*'Inputs'!D13*'Inputs'!D14*'Calculations'!D20/'Inputs'!D16,'Calculations'!I69*'Inputs'!D12*(1-'Inputs'!D13)*'Inputs'!D14/('Inputs'!D11*'Inputs'!D18)))-'Inputs'!D25,"n.a.")</x:f>
        <x:v>0</x:v>
      </x:c>
      <x:c r="E21" s="25" t="str">
        <x:v>multiple</x:v>
      </x:c>
      <x:c r="F21" s="25" t="str">
        <x:f>IF(ISNUMBER(D21),IF(ABS(D21)&lt;0.000000001,"OK","CHECK"),"Not applicable")</x:f>
        <x:v>OK</x:v>
      </x:c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</x:row>
    <x:row r="22" ht="23" customHeight="1">
      <x:c r="C22" s="2" t="str">
        <x:v>Molecular whole-family dilution</x:v>
      </x:c>
      <x:c r="D22" s="59" t="n">
        <x:f>'Calculations'!M45-1-'Calculations'!G45*('Calculations'!L45-1)</x:f>
        <x:v>8.326672684688674e-17</x:v>
      </x:c>
      <x:c r="E22" s="25" t="str">
        <x:v>multiple</x:v>
      </x:c>
      <x:c r="F22" s="25" t="str">
        <x:f>IF(ISNUMBER(D22),IF(ABS(D22)&lt;0.000000001,"OK","CHECK"),"Not applicable")</x:f>
        <x:v>OK</x:v>
      </x:c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</x:row>
    <x:row r="23" ht="23" customHeight="1">
      <x:c r="C23" s="2" t="str">
        <x:v>Protein assays whole-family dilution</x:v>
      </x:c>
      <x:c r="D23" s="59" t="n">
        <x:f>'Calculations'!M46-1-'Calculations'!G46*('Calculations'!L46-1)</x:f>
        <x:v>-1.1102230246251565e-16</x:v>
      </x:c>
      <x:c r="E23" s="25" t="str">
        <x:v>multiple</x:v>
      </x:c>
      <x:c r="F23" s="25" t="str">
        <x:f>IF(ISNUMBER(D23),IF(ABS(D23)&lt;0.000000001,"OK","CHECK"),"Not applicable")</x:f>
        <x:v>OK</x:v>
      </x:c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</x:row>
    <x:row r="24" ht="23" customHeight="1">
      <x:c r="C24" s="2" t="str">
        <x:v>Cells / culture whole-family dilution</x:v>
      </x:c>
      <x:c r="D24" s="59" t="n">
        <x:f>'Calculations'!M47-1-'Calculations'!G47*('Calculations'!L47-1)</x:f>
        <x:v>0</x:v>
      </x:c>
      <x:c r="E24" s="25" t="str">
        <x:v>multiple</x:v>
      </x:c>
      <x:c r="F24" s="25" t="str">
        <x:f>IF(ISNUMBER(D24),IF(ABS(D24)&lt;0.000000001,"OK","CHECK"),"Not applicable")</x:f>
        <x:v>OK</x:v>
      </x:c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</x:row>
    <x:row r="25" ht="23" customHeight="1">
      <x:c r="C25" s="2" t="str">
        <x:v>Labware whole-family dilution</x:v>
      </x:c>
      <x:c r="D25" s="59" t="n">
        <x:f>'Calculations'!M48-1-'Calculations'!G48*('Calculations'!L48-1)</x:f>
        <x:v>5.551115123125783e-17</x:v>
      </x:c>
      <x:c r="E25" s="25" t="str">
        <x:v>multiple</x:v>
      </x:c>
      <x:c r="F25" s="25" t="str">
        <x:f>IF(ISNUMBER(D25),IF(ABS(D25)&lt;0.000000001,"OK","CHECK"),"Not applicable")</x:f>
        <x:v>OK</x:v>
      </x:c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</x:row>
    <x:row r="26" ht="23" customHeight="1">
      <x:c r="C26" s="2" t="str">
        <x:v>Analytics whole-family dilution</x:v>
      </x:c>
      <x:c r="D26" s="59" t="n">
        <x:f>'Calculations'!M49-1-'Calculations'!G49*('Calculations'!L49-1)</x:f>
        <x:v>0</x:v>
      </x:c>
      <x:c r="E26" s="25" t="str">
        <x:v>multiple</x:v>
      </x:c>
      <x:c r="F26" s="25" t="str">
        <x:f>IF(ISNUMBER(D26),IF(ABS(D26)&lt;0.000000001,"OK","CHECK"),"Not applicable")</x:f>
        <x:v>OK</x:v>
      </x:c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</x:row>
    <x:row r="27" ht="23" customHeight="1">
      <x:c r="C27" s="2" t="str">
        <x:v>Purification whole-family dilution</x:v>
      </x:c>
      <x:c r="D27" s="59" t="n">
        <x:f>'Calculations'!M50-1-'Calculations'!G50*('Calculations'!L50-1)</x:f>
        <x:v>9.367506770274758e-17</x:v>
      </x:c>
      <x:c r="E27" s="25" t="str">
        <x:v>multiple</x:v>
      </x:c>
      <x:c r="F27" s="25" t="str">
        <x:f>IF(ISNUMBER(D27),IF(ABS(D27)&lt;0.000000001,"OK","CHECK"),"Not applicable")</x:f>
        <x:v>OK</x:v>
      </x:c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</x:row>
    <x:row r="28" ht="23" customHeight="1">
      <x:c r="C28" s="2" t="str">
        <x:v>Numeric global input completeness</x:v>
      </x:c>
      <x:c r="D28" s="59" t="n">
        <x:f>COUNT('Inputs'!D5,'Inputs'!D10:D26)-18</x:f>
        <x:v>0</x:v>
      </x:c>
      <x:c r="E28" s="25" t="str">
        <x:v>cells</x:v>
      </x:c>
      <x:c r="F28" s="25" t="str">
        <x:f>IF(ISNUMBER(D28),IF(ABS(D28)&lt;0.000000001,"OK","CHECK"),"Not applicable")</x:f>
        <x:v>OK</x:v>
      </x:c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</x:row>
    <x:row r="29" ht="23" customHeight="1">
      <x:c r="C29" s="2" t="str">
        <x:v>Selected coefficient completeness</x:v>
      </x:c>
      <x:c r="D29" s="59" t="n">
        <x:f>CHOOSE('Inputs'!D5,COUNT('Inputs'!D43:G48),COUNT('Inputs'!D53:G58),COUNT('Inputs'!D63:G68))-24</x:f>
        <x:v>0</x:v>
      </x:c>
      <x:c r="E29" s="25" t="str">
        <x:v>cells</x:v>
      </x:c>
      <x:c r="F29" s="25" t="str">
        <x:f>IF(ISNUMBER(D29),IF(ABS(D29)&lt;0.000000001,"OK","CHECK"),"Not applicable")</x:f>
        <x:v>OK</x:v>
      </x:c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</x:row>
    <x:row r="30" ht="23" customHeight="1">
      <x:c r="C30" s="2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</x:row>
    <x:row r="31" ht="23" customHeight="1">
      <x:c r="C31" s="2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</x:row>
    <x:row r="32" ht="23" customHeight="1">
      <x:c r="C32" s="2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</x:row>
    <x:row r="33" ht="23" customHeight="1">
      <x:c r="C33" s="2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</x:row>
    <x:row r="34" ht="23" customHeight="1">
      <x:c r="C34" s="2" t="str">
        <x:v>A target is not applicable when necessary funding shares or commissioning are zero.</x:v>
      </x:c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</x:row>
    <x:row r="35" ht="23" customHeight="1">
      <x:c r="C35" s="2" t="str">
        <x:v>No other worksheet references this check area.</x:v>
      </x:c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</x:row>
    <x:row r="36" ht="23" customHeight="1">
      <x:c r="C36" s="2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</x:row>
    <x:row r="37" ht="23" customHeight="1">
      <x:c r="C37" s="2" t="str">
        <x:v>Price factors affect increments only. A 1x baseline is retained with no new funding.</x:v>
      </x:c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</x:row>
    <x:row r="38" ht="23" customHeight="1">
      <x:c r="C38" s="2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</x:row>
    <x:row r="39" ht="23" customHeight="1">
      <x:c r="C39" s="2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</x:row>
    <x:row r="40" ht="23" customHeight="1">
      <x:c r="C40" s="2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</x:row>
    <x:row r="41" ht="23" customHeight="1">
      <x:c r="C41" s="2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</x:row>
    <x:row r="42" ht="23" customHeight="1">
      <x:c r="C42" s="2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</x:row>
    <x:row r="43" ht="23" customHeight="1">
      <x:c r="C43" s="2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</x:row>
    <x:row r="44" ht="23" customHeight="1">
      <x:c r="C44" s="2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</x:row>
    <x:row r="45" ht="23" customHeight="1">
      <x:c r="C45" s="2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</x:row>
    <x:row r="46" ht="23" customHeight="1">
      <x:c r="C46" s="2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</x:row>
  </x:sheetData>
  <x:conditionalFormatting sqref="F9:F29">
    <x:cfRule type="cellIs" dxfId="2" priority="1" operator="equal">
      <x:formula>"CHECK"</x:formula>
    </x:cfRule>
  </x:conditionalFormatting>
  <x:pageMargins left="0.7" right="0.7" top="0.75" bottom="0.75" header="0.3" footer="0.3"/>
</x:worksheet>
</file>